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false" localSheetId="0" name="_xlnm.Print_Area" vbProcedure="false">Model!$A$1:$N$77</definedName>
    <definedName function="false" hidden="true" name="IQ_CH" vbProcedure="false">110000</definedName>
    <definedName function="false" hidden="true" name="IQ_CQ" vbProcedure="false">5000</definedName>
    <definedName function="false" hidden="true" name="IQ_CY" vbProcedure="false">10000</definedName>
    <definedName function="false" hidden="true" name="IQ_DAILY" vbProcedure="false">500000</definedName>
    <definedName function="false" hidden="true" name="IQ_FH" vbProcedure="false">100000</definedName>
    <definedName function="false" hidden="tru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MONTH" vbProcedure="false">15000</definedName>
    <definedName function="false" hidden="true" name="IQ_NAMES_REVISION_DATE_" vbProcedure="false">40884.672337963</definedName>
    <definedName function="false" hidden="true" name="IQ_NTM" vbProcedure="false">6000</definedName>
    <definedName function="false" hidden="true" name="IQ_TODAY" vbProcedure="false">0</definedName>
    <definedName function="false" hidden="true" name="IQ_WEEK" vbProcedure="false">50000</definedName>
    <definedName function="false" hidden="true" name="IQ_YTD" vbProcedure="false">3000</definedName>
    <definedName function="false" hidden="true" name="IQ_YTDMONTH" vbProcedure="false">130000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<sst xmlns="http://schemas.openxmlformats.org/spreadsheetml/2006/main" count="166" uniqueCount="157">
  <si>
    <t xml:space="preserve">Simple Discounted Cash Flow Model</t>
  </si>
  <si>
    <t xml:space="preserve">DCF Analysis</t>
  </si>
  <si>
    <t xml:space="preserve">Assumptions</t>
  </si>
  <si>
    <t xml:space="preserve">Year</t>
  </si>
  <si>
    <t xml:space="preserve">Corporate Tax Rate</t>
  </si>
  <si>
    <t xml:space="preserve">Revenue</t>
  </si>
  <si>
    <t xml:space="preserve">$13,600.0</t>
  </si>
  <si>
    <t xml:space="preserve">$14,280.0</t>
  </si>
  <si>
    <t xml:space="preserve">$14,994.0</t>
  </si>
  <si>
    <t xml:space="preserve">$15,743.7</t>
  </si>
  <si>
    <t xml:space="preserve">$16,530.9</t>
  </si>
  <si>
    <t xml:space="preserve">Discount Rate (WACC) (k)</t>
  </si>
  <si>
    <t xml:space="preserve">% Growth</t>
  </si>
  <si>
    <t xml:space="preserve">Terminal Multiple</t>
  </si>
  <si>
    <t xml:space="preserve">EBITDA</t>
  </si>
  <si>
    <t xml:space="preserve">$5400.0</t>
  </si>
  <si>
    <t xml:space="preserve">$5,751.9</t>
  </si>
  <si>
    <t xml:space="preserve">$6,125.5</t>
  </si>
  <si>
    <t xml:space="preserve">$6,522.1</t>
  </si>
  <si>
    <t xml:space="preserve">$6,943.0</t>
  </si>
  <si>
    <t xml:space="preserve">% Margin</t>
  </si>
  <si>
    <t xml:space="preserve">Revenues</t>
  </si>
  <si>
    <t xml:space="preserve">YOY Growth</t>
  </si>
  <si>
    <t xml:space="preserve">Cash Taxes Calculation</t>
  </si>
  <si>
    <t xml:space="preserve">EBITDA </t>
  </si>
  <si>
    <t xml:space="preserve">% Margin (assume increasing to 42%)</t>
  </si>
  <si>
    <t xml:space="preserve">Less: Depreciation and Amortization</t>
  </si>
  <si>
    <t xml:space="preserve">Depreciation/Amort % Revenue</t>
  </si>
  <si>
    <t xml:space="preserve">EBIT</t>
  </si>
  <si>
    <t xml:space="preserve">$5,304.8</t>
  </si>
  <si>
    <t xml:space="preserve">$5,651.9</t>
  </si>
  <si>
    <t xml:space="preserve">$6,020.5</t>
  </si>
  <si>
    <t xml:space="preserve">$6,411.9</t>
  </si>
  <si>
    <t xml:space="preserve">$6,827.3</t>
  </si>
  <si>
    <t xml:space="preserve">NWC as % of Revenue</t>
  </si>
  <si>
    <t xml:space="preserve">Cash Taxes</t>
  </si>
  <si>
    <t xml:space="preserve">$2,121.9</t>
  </si>
  <si>
    <t xml:space="preserve">$2,260.8</t>
  </si>
  <si>
    <t xml:space="preserve">$2,408.2</t>
  </si>
  <si>
    <t xml:space="preserve">$2,564.7</t>
  </si>
  <si>
    <t xml:space="preserve">$2,730.9</t>
  </si>
  <si>
    <t xml:space="preserve">Capex</t>
  </si>
  <si>
    <t xml:space="preserve">Cash</t>
  </si>
  <si>
    <t xml:space="preserve">Capital Expenditures</t>
  </si>
  <si>
    <t xml:space="preserve">$68.0</t>
  </si>
  <si>
    <t xml:space="preserve">$71.4</t>
  </si>
  <si>
    <t xml:space="preserve">$75.0</t>
  </si>
  <si>
    <t xml:space="preserve">$78.7</t>
  </si>
  <si>
    <t xml:space="preserve">$82.7</t>
  </si>
  <si>
    <t xml:space="preserve">Debt</t>
  </si>
  <si>
    <t xml:space="preserve">Shares Outstanding</t>
  </si>
  <si>
    <t xml:space="preserve">Net Working Capital</t>
  </si>
  <si>
    <t xml:space="preserve">$680.0</t>
  </si>
  <si>
    <t xml:space="preserve">$714.0</t>
  </si>
  <si>
    <t xml:space="preserve">$749.7</t>
  </si>
  <si>
    <t xml:space="preserve">$787.2</t>
  </si>
  <si>
    <t xml:space="preserve">$826.5</t>
  </si>
  <si>
    <t xml:space="preserve">Change in NWC</t>
  </si>
  <si>
    <t xml:space="preserve">$0.0</t>
  </si>
  <si>
    <t xml:space="preserve">$34.0</t>
  </si>
  <si>
    <t xml:space="preserve">$35.7</t>
  </si>
  <si>
    <t xml:space="preserve">$37.5</t>
  </si>
  <si>
    <t xml:space="preserve">$39.4</t>
  </si>
  <si>
    <t xml:space="preserve">Less: Cash Taxes</t>
  </si>
  <si>
    <t xml:space="preserve">Less: Changes in W/C</t>
  </si>
  <si>
    <t xml:space="preserve">Less: Capital Expenditures</t>
  </si>
  <si>
    <t xml:space="preserve">Total Unlevered Free Cash Flow</t>
  </si>
  <si>
    <t xml:space="preserve">$3,210.1</t>
  </si>
  <si>
    <t xml:space="preserve">$3,385.7</t>
  </si>
  <si>
    <t xml:space="preserve">$3,606.6</t>
  </si>
  <si>
    <t xml:space="preserve">$3,841.1</t>
  </si>
  <si>
    <t xml:space="preserve">$4,090.1</t>
  </si>
  <si>
    <t xml:space="preserve">Total Discounted Unlevered Free Cash Flow </t>
  </si>
  <si>
    <t xml:space="preserve">$2,958.6</t>
  </si>
  <si>
    <t xml:space="preserve">$2,876.0</t>
  </si>
  <si>
    <t xml:space="preserve">$2,823.6</t>
  </si>
  <si>
    <t xml:space="preserve">$2,771.6</t>
  </si>
  <si>
    <t xml:space="preserve">$2,720.1</t>
  </si>
  <si>
    <t xml:space="preserve">PV of Unlevered FCF</t>
  </si>
  <si>
    <t xml:space="preserve">$14,150.0</t>
  </si>
  <si>
    <t xml:space="preserve">Implied Enterprise / Equity Valuation from DCF Analysis</t>
  </si>
  <si>
    <t xml:space="preserve">Forward (2026E) EBITDA</t>
  </si>
  <si>
    <t xml:space="preserve">Terminal Value</t>
  </si>
  <si>
    <t xml:space="preserve">$83,315.7</t>
  </si>
  <si>
    <t xml:space="preserve">Present Value of Terminal Value</t>
  </si>
  <si>
    <t xml:space="preserve">Plus: PV of Terminal Value</t>
  </si>
  <si>
    <t xml:space="preserve">Implied TEV / Present Value</t>
  </si>
  <si>
    <t xml:space="preserve">$69,558.7</t>
  </si>
  <si>
    <t xml:space="preserve">Plus: Cash </t>
  </si>
  <si>
    <t xml:space="preserve">Less: Debt </t>
  </si>
  <si>
    <t xml:space="preserve">Implied Equity Value</t>
  </si>
  <si>
    <t xml:space="preserve">$78,708.7</t>
  </si>
  <si>
    <t xml:space="preserve">Shares Outstanding </t>
  </si>
  <si>
    <t xml:space="preserve">Implied Share Price Valuation </t>
  </si>
  <si>
    <t xml:space="preserve">$78.71</t>
  </si>
  <si>
    <t xml:space="preserve">Sensitivities</t>
  </si>
  <si>
    <t xml:space="preserve">Enterprise Value ($M)</t>
  </si>
  <si>
    <t xml:space="preserve">Step-ups</t>
  </si>
  <si>
    <t xml:space="preserve">Row</t>
  </si>
  <si>
    <t xml:space="preserve">11.0x</t>
  </si>
  <si>
    <t xml:space="preserve">11.5x</t>
  </si>
  <si>
    <t xml:space="preserve">12.0x</t>
  </si>
  <si>
    <t xml:space="preserve">12.5x</t>
  </si>
  <si>
    <t xml:space="preserve">13.0x</t>
  </si>
  <si>
    <t xml:space="preserve">Column</t>
  </si>
  <si>
    <t xml:space="preserve">$68.608</t>
  </si>
  <si>
    <t xml:space="preserve">$70,976</t>
  </si>
  <si>
    <t xml:space="preserve">$73,344</t>
  </si>
  <si>
    <t xml:space="preserve">$75,712</t>
  </si>
  <si>
    <t xml:space="preserve">$78,080</t>
  </si>
  <si>
    <t xml:space="preserve">$67,121</t>
  </si>
  <si>
    <t xml:space="preserve">$69,432</t>
  </si>
  <si>
    <t xml:space="preserve">$71,742</t>
  </si>
  <si>
    <t xml:space="preserve">$74,053</t>
  </si>
  <si>
    <t xml:space="preserve">$76,363</t>
  </si>
  <si>
    <t xml:space="preserve">WACC</t>
  </si>
  <si>
    <t xml:space="preserve">$65,676</t>
  </si>
  <si>
    <t xml:space="preserve">$67,931</t>
  </si>
  <si>
    <t xml:space="preserve">$70,186</t>
  </si>
  <si>
    <t xml:space="preserve">$72,441</t>
  </si>
  <si>
    <t xml:space="preserve">$74,696</t>
  </si>
  <si>
    <t xml:space="preserve">$64,272</t>
  </si>
  <si>
    <t xml:space="preserve">$66,472</t>
  </si>
  <si>
    <t xml:space="preserve">$68,673</t>
  </si>
  <si>
    <t xml:space="preserve">$70,873</t>
  </si>
  <si>
    <t xml:space="preserve">$73,074</t>
  </si>
  <si>
    <t xml:space="preserve">$62,908</t>
  </si>
  <si>
    <t xml:space="preserve">$65,054</t>
  </si>
  <si>
    <t xml:space="preserve">$67,200</t>
  </si>
  <si>
    <t xml:space="preserve">$69,346</t>
  </si>
  <si>
    <t xml:space="preserve">$71,492</t>
  </si>
  <si>
    <t xml:space="preserve">Implied Share Price</t>
  </si>
  <si>
    <t xml:space="preserve">$77.76</t>
  </si>
  <si>
    <t xml:space="preserve">$80.13</t>
  </si>
  <si>
    <t xml:space="preserve">$82.49</t>
  </si>
  <si>
    <t xml:space="preserve">$84.86</t>
  </si>
  <si>
    <t xml:space="preserve">$87.23</t>
  </si>
  <si>
    <t xml:space="preserve">$76.27</t>
  </si>
  <si>
    <t xml:space="preserve">$78.58</t>
  </si>
  <si>
    <t xml:space="preserve">$80.89</t>
  </si>
  <si>
    <t xml:space="preserve">$83.20</t>
  </si>
  <si>
    <t xml:space="preserve">$85.51</t>
  </si>
  <si>
    <t xml:space="preserve">$74.83</t>
  </si>
  <si>
    <t xml:space="preserve">$77.08</t>
  </si>
  <si>
    <t xml:space="preserve">$79.34</t>
  </si>
  <si>
    <t xml:space="preserve">$81.59</t>
  </si>
  <si>
    <t xml:space="preserve">$83.85</t>
  </si>
  <si>
    <t xml:space="preserve">$73.42</t>
  </si>
  <si>
    <t xml:space="preserve">$75.62</t>
  </si>
  <si>
    <t xml:space="preserve">$77.82</t>
  </si>
  <si>
    <t xml:space="preserve">$80.02</t>
  </si>
  <si>
    <t xml:space="preserve">$82.22</t>
  </si>
  <si>
    <t xml:space="preserve">$72.06</t>
  </si>
  <si>
    <t xml:space="preserve">$74.20</t>
  </si>
  <si>
    <t xml:space="preserve">$76.35</t>
  </si>
  <si>
    <t xml:space="preserve">$78.50</t>
  </si>
  <si>
    <t xml:space="preserve">$80.64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</si>
</sst>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/d/yyyy"/>
    <numFmt numFmtId="166" formatCode="General\E"/>
    <numFmt numFmtId="167" formatCode="0%"/>
    <numFmt numFmtId="168" formatCode="0.0%"/>
    <numFmt numFmtId="169" formatCode="\$#,##0.0"/>
    <numFmt numFmtId="170" formatCode="0.0\x"/>
    <numFmt numFmtId="171" formatCode="_(\$* #,##0.00_);_(\$* \(#,##0.00\);_(\$* \-??_);_(@_)"/>
    <numFmt numFmtId="172" formatCode="\$#,##0"/>
    <numFmt numFmtId="173" formatCode="#,##0.0_);\(#,##0.0\)"/>
    <numFmt numFmtId="174" formatCode="#,##0"/>
    <numFmt numFmtId="175" formatCode="0.0%_);\(0.0%\);0.0%_);@_)"/>
    <numFmt numFmtId="176" formatCode="\$#,##0.0_);&quot;($&quot;#,##0.0\)"/>
    <numFmt numFmtId="177" formatCode="\$#,##0.00_);&quot;($&quot;#,##0.00\)"/>
    <numFmt numFmtId="178" formatCode="_(\$* #,##0.0_);_(\$* \(#,##0.0\);_(\$* \-?_);_(@_)"/>
    <numFmt numFmtId="179" formatCode="#,##0_);\(#,##0\)"/>
    <numFmt numFmtId="180" formatCode="#,##0.0\x"/>
    <numFmt numFmtId="181" formatCode="0.00%_);\(0.00%\);0.00%_);@_)"/>
    <numFmt numFmtId="182" formatCode="#,##0.0%_);\(#,##0.0%\)"/>
    <numFmt numFmtId="183" formatCode="_(* #,##0.0_);_(* \(#,##0.0\);_(* \-?_);_(@_)"/>
    <numFmt numFmtId="184" formatCode="#,##0.00_);\(#,##0.00\)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0000CC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u val="singl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FFFF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2" tint="-0.1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15"/>
        <bgColor rgb="FFD0CECE"/>
      </patternFill>
    </fill>
    <fill>
      <patternFill patternType="solid">
        <fgColor rgb="FFC0C0C0"/>
        <bgColor rgb="FFD0CECE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1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3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" fillId="3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2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5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6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6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9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9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3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13 - 2022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33"/>
    <pageSetUpPr fitToPage="true"/>
  </sheetPr>
  <dimension ref="A1:Q78"/>
  <sheetViews>
    <sheetView showFormulas="false" showGridLines="false" showRowColHeaders="true" showZeros="true" rightToLeft="false" tabSelected="true" showOutlineSymbols="true" defaultGridColor="true" view="normal" topLeftCell="A52" colorId="64" zoomScale="74" zoomScaleNormal="74" zoomScalePageLayoutView="85" workbookViewId="0">
      <selection pane="topLeft" activeCell="L61" activeCellId="0" sqref="L61"/>
    </sheetView>
  </sheetViews>
  <sheetFormatPr defaultColWidth="8.82421875" defaultRowHeight="12" zeroHeight="false" outlineLevelRow="0" outlineLevelCol="0"/>
  <cols>
    <col collapsed="false" customWidth="true" hidden="false" outlineLevel="0" max="2" min="1" style="0" width="1.63"/>
    <col collapsed="false" customWidth="true" hidden="false" outlineLevel="0" max="5" min="4" style="0" width="9.36"/>
    <col collapsed="false" customWidth="true" hidden="false" outlineLevel="0" max="6" min="6" style="0" width="7.45"/>
    <col collapsed="false" customWidth="true" hidden="false" outlineLevel="0" max="7" min="7" style="0" width="6.18"/>
    <col collapsed="false" customWidth="true" hidden="false" outlineLevel="0" max="8" min="8" style="0" width="10.63"/>
    <col collapsed="false" customWidth="true" hidden="false" outlineLevel="0" max="13" min="9" style="0" width="15.63"/>
    <col collapsed="false" customWidth="true" hidden="false" outlineLevel="0" max="14" min="14" style="0" width="3.63"/>
    <col collapsed="false" customWidth="true" hidden="false" outlineLevel="0" max="17" min="15" style="0" width="15.63"/>
    <col collapsed="false" customWidth="true" hidden="false" outlineLevel="0" max="18" min="18" style="0" width="16.82"/>
    <col collapsed="false" customWidth="true" hidden="false" outlineLevel="0" max="19" min="19" style="0" width="21.45"/>
    <col collapsed="false" customWidth="true" hidden="false" outlineLevel="0" max="20" min="20" style="0" width="11.63"/>
    <col collapsed="false" customWidth="true" hidden="false" outlineLevel="0" max="21" min="21" style="0" width="17.63"/>
    <col collapsed="false" customWidth="true" hidden="false" outlineLevel="0" max="258" min="257" style="0" width="1.63"/>
    <col collapsed="false" customWidth="true" hidden="false" outlineLevel="0" max="261" min="260" style="0" width="9.36"/>
    <col collapsed="false" customWidth="true" hidden="false" outlineLevel="0" max="262" min="262" style="0" width="9.82"/>
    <col collapsed="false" customWidth="true" hidden="false" outlineLevel="0" max="263" min="263" style="0" width="11.45"/>
    <col collapsed="false" customWidth="true" hidden="false" outlineLevel="0" max="264" min="264" style="0" width="10.63"/>
    <col collapsed="false" customWidth="true" hidden="false" outlineLevel="0" max="269" min="265" style="0" width="15.63"/>
    <col collapsed="false" customWidth="true" hidden="false" outlineLevel="0" max="270" min="270" style="0" width="3.63"/>
    <col collapsed="false" customWidth="true" hidden="false" outlineLevel="0" max="275" min="271" style="0" width="15.63"/>
    <col collapsed="false" customWidth="true" hidden="false" outlineLevel="0" max="277" min="277" style="0" width="11.36"/>
    <col collapsed="false" customWidth="true" hidden="false" outlineLevel="0" max="514" min="513" style="0" width="1.63"/>
    <col collapsed="false" customWidth="true" hidden="false" outlineLevel="0" max="517" min="516" style="0" width="9.36"/>
    <col collapsed="false" customWidth="true" hidden="false" outlineLevel="0" max="518" min="518" style="0" width="9.82"/>
    <col collapsed="false" customWidth="true" hidden="false" outlineLevel="0" max="519" min="519" style="0" width="11.45"/>
    <col collapsed="false" customWidth="true" hidden="false" outlineLevel="0" max="520" min="520" style="0" width="10.63"/>
    <col collapsed="false" customWidth="true" hidden="false" outlineLevel="0" max="525" min="521" style="0" width="15.63"/>
    <col collapsed="false" customWidth="true" hidden="false" outlineLevel="0" max="526" min="526" style="0" width="3.63"/>
    <col collapsed="false" customWidth="true" hidden="false" outlineLevel="0" max="531" min="527" style="0" width="15.63"/>
    <col collapsed="false" customWidth="true" hidden="false" outlineLevel="0" max="533" min="533" style="0" width="11.36"/>
    <col collapsed="false" customWidth="true" hidden="false" outlineLevel="0" max="770" min="769" style="0" width="1.63"/>
    <col collapsed="false" customWidth="true" hidden="false" outlineLevel="0" max="773" min="772" style="0" width="9.36"/>
    <col collapsed="false" customWidth="true" hidden="false" outlineLevel="0" max="774" min="774" style="0" width="9.82"/>
    <col collapsed="false" customWidth="true" hidden="false" outlineLevel="0" max="775" min="775" style="0" width="11.45"/>
    <col collapsed="false" customWidth="true" hidden="false" outlineLevel="0" max="776" min="776" style="0" width="10.63"/>
    <col collapsed="false" customWidth="true" hidden="false" outlineLevel="0" max="781" min="777" style="0" width="15.63"/>
    <col collapsed="false" customWidth="true" hidden="false" outlineLevel="0" max="782" min="782" style="0" width="3.63"/>
    <col collapsed="false" customWidth="true" hidden="false" outlineLevel="0" max="787" min="783" style="0" width="15.63"/>
    <col collapsed="false" customWidth="true" hidden="false" outlineLevel="0" max="789" min="789" style="0" width="11.36"/>
    <col collapsed="false" customWidth="true" hidden="false" outlineLevel="0" max="1026" min="1025" style="0" width="1.63"/>
    <col collapsed="false" customWidth="true" hidden="false" outlineLevel="0" max="1029" min="1028" style="0" width="9.36"/>
    <col collapsed="false" customWidth="true" hidden="false" outlineLevel="0" max="1030" min="1030" style="0" width="9.82"/>
    <col collapsed="false" customWidth="true" hidden="false" outlineLevel="0" max="1031" min="1031" style="0" width="11.45"/>
    <col collapsed="false" customWidth="true" hidden="false" outlineLevel="0" max="1032" min="1032" style="0" width="10.63"/>
    <col collapsed="false" customWidth="true" hidden="false" outlineLevel="0" max="1037" min="1033" style="0" width="15.63"/>
    <col collapsed="false" customWidth="true" hidden="false" outlineLevel="0" max="1038" min="1038" style="0" width="3.63"/>
    <col collapsed="false" customWidth="true" hidden="false" outlineLevel="0" max="1043" min="1039" style="0" width="15.63"/>
    <col collapsed="false" customWidth="true" hidden="false" outlineLevel="0" max="1045" min="1045" style="0" width="11.36"/>
    <col collapsed="false" customWidth="true" hidden="false" outlineLevel="0" max="1282" min="1281" style="0" width="1.63"/>
    <col collapsed="false" customWidth="true" hidden="false" outlineLevel="0" max="1285" min="1284" style="0" width="9.36"/>
    <col collapsed="false" customWidth="true" hidden="false" outlineLevel="0" max="1286" min="1286" style="0" width="9.82"/>
    <col collapsed="false" customWidth="true" hidden="false" outlineLevel="0" max="1287" min="1287" style="0" width="11.45"/>
    <col collapsed="false" customWidth="true" hidden="false" outlineLevel="0" max="1288" min="1288" style="0" width="10.63"/>
    <col collapsed="false" customWidth="true" hidden="false" outlineLevel="0" max="1293" min="1289" style="0" width="15.63"/>
    <col collapsed="false" customWidth="true" hidden="false" outlineLevel="0" max="1294" min="1294" style="0" width="3.63"/>
    <col collapsed="false" customWidth="true" hidden="false" outlineLevel="0" max="1299" min="1295" style="0" width="15.63"/>
    <col collapsed="false" customWidth="true" hidden="false" outlineLevel="0" max="1301" min="1301" style="0" width="11.36"/>
    <col collapsed="false" customWidth="true" hidden="false" outlineLevel="0" max="1538" min="1537" style="0" width="1.63"/>
    <col collapsed="false" customWidth="true" hidden="false" outlineLevel="0" max="1541" min="1540" style="0" width="9.36"/>
    <col collapsed="false" customWidth="true" hidden="false" outlineLevel="0" max="1542" min="1542" style="0" width="9.82"/>
    <col collapsed="false" customWidth="true" hidden="false" outlineLevel="0" max="1543" min="1543" style="0" width="11.45"/>
    <col collapsed="false" customWidth="true" hidden="false" outlineLevel="0" max="1544" min="1544" style="0" width="10.63"/>
    <col collapsed="false" customWidth="true" hidden="false" outlineLevel="0" max="1549" min="1545" style="0" width="15.63"/>
    <col collapsed="false" customWidth="true" hidden="false" outlineLevel="0" max="1550" min="1550" style="0" width="3.63"/>
    <col collapsed="false" customWidth="true" hidden="false" outlineLevel="0" max="1555" min="1551" style="0" width="15.63"/>
    <col collapsed="false" customWidth="true" hidden="false" outlineLevel="0" max="1557" min="1557" style="0" width="11.36"/>
    <col collapsed="false" customWidth="true" hidden="false" outlineLevel="0" max="1794" min="1793" style="0" width="1.63"/>
    <col collapsed="false" customWidth="true" hidden="false" outlineLevel="0" max="1797" min="1796" style="0" width="9.36"/>
    <col collapsed="false" customWidth="true" hidden="false" outlineLevel="0" max="1798" min="1798" style="0" width="9.82"/>
    <col collapsed="false" customWidth="true" hidden="false" outlineLevel="0" max="1799" min="1799" style="0" width="11.45"/>
    <col collapsed="false" customWidth="true" hidden="false" outlineLevel="0" max="1800" min="1800" style="0" width="10.63"/>
    <col collapsed="false" customWidth="true" hidden="false" outlineLevel="0" max="1805" min="1801" style="0" width="15.63"/>
    <col collapsed="false" customWidth="true" hidden="false" outlineLevel="0" max="1806" min="1806" style="0" width="3.63"/>
    <col collapsed="false" customWidth="true" hidden="false" outlineLevel="0" max="1811" min="1807" style="0" width="15.63"/>
    <col collapsed="false" customWidth="true" hidden="false" outlineLevel="0" max="1813" min="1813" style="0" width="11.36"/>
    <col collapsed="false" customWidth="true" hidden="false" outlineLevel="0" max="2050" min="2049" style="0" width="1.63"/>
    <col collapsed="false" customWidth="true" hidden="false" outlineLevel="0" max="2053" min="2052" style="0" width="9.36"/>
    <col collapsed="false" customWidth="true" hidden="false" outlineLevel="0" max="2054" min="2054" style="0" width="9.82"/>
    <col collapsed="false" customWidth="true" hidden="false" outlineLevel="0" max="2055" min="2055" style="0" width="11.45"/>
    <col collapsed="false" customWidth="true" hidden="false" outlineLevel="0" max="2056" min="2056" style="0" width="10.63"/>
    <col collapsed="false" customWidth="true" hidden="false" outlineLevel="0" max="2061" min="2057" style="0" width="15.63"/>
    <col collapsed="false" customWidth="true" hidden="false" outlineLevel="0" max="2062" min="2062" style="0" width="3.63"/>
    <col collapsed="false" customWidth="true" hidden="false" outlineLevel="0" max="2067" min="2063" style="0" width="15.63"/>
    <col collapsed="false" customWidth="true" hidden="false" outlineLevel="0" max="2069" min="2069" style="0" width="11.36"/>
    <col collapsed="false" customWidth="true" hidden="false" outlineLevel="0" max="2306" min="2305" style="0" width="1.63"/>
    <col collapsed="false" customWidth="true" hidden="false" outlineLevel="0" max="2309" min="2308" style="0" width="9.36"/>
    <col collapsed="false" customWidth="true" hidden="false" outlineLevel="0" max="2310" min="2310" style="0" width="9.82"/>
    <col collapsed="false" customWidth="true" hidden="false" outlineLevel="0" max="2311" min="2311" style="0" width="11.45"/>
    <col collapsed="false" customWidth="true" hidden="false" outlineLevel="0" max="2312" min="2312" style="0" width="10.63"/>
    <col collapsed="false" customWidth="true" hidden="false" outlineLevel="0" max="2317" min="2313" style="0" width="15.63"/>
    <col collapsed="false" customWidth="true" hidden="false" outlineLevel="0" max="2318" min="2318" style="0" width="3.63"/>
    <col collapsed="false" customWidth="true" hidden="false" outlineLevel="0" max="2323" min="2319" style="0" width="15.63"/>
    <col collapsed="false" customWidth="true" hidden="false" outlineLevel="0" max="2325" min="2325" style="0" width="11.36"/>
    <col collapsed="false" customWidth="true" hidden="false" outlineLevel="0" max="2562" min="2561" style="0" width="1.63"/>
    <col collapsed="false" customWidth="true" hidden="false" outlineLevel="0" max="2565" min="2564" style="0" width="9.36"/>
    <col collapsed="false" customWidth="true" hidden="false" outlineLevel="0" max="2566" min="2566" style="0" width="9.82"/>
    <col collapsed="false" customWidth="true" hidden="false" outlineLevel="0" max="2567" min="2567" style="0" width="11.45"/>
    <col collapsed="false" customWidth="true" hidden="false" outlineLevel="0" max="2568" min="2568" style="0" width="10.63"/>
    <col collapsed="false" customWidth="true" hidden="false" outlineLevel="0" max="2573" min="2569" style="0" width="15.63"/>
    <col collapsed="false" customWidth="true" hidden="false" outlineLevel="0" max="2574" min="2574" style="0" width="3.63"/>
    <col collapsed="false" customWidth="true" hidden="false" outlineLevel="0" max="2579" min="2575" style="0" width="15.63"/>
    <col collapsed="false" customWidth="true" hidden="false" outlineLevel="0" max="2581" min="2581" style="0" width="11.36"/>
    <col collapsed="false" customWidth="true" hidden="false" outlineLevel="0" max="2818" min="2817" style="0" width="1.63"/>
    <col collapsed="false" customWidth="true" hidden="false" outlineLevel="0" max="2821" min="2820" style="0" width="9.36"/>
    <col collapsed="false" customWidth="true" hidden="false" outlineLevel="0" max="2822" min="2822" style="0" width="9.82"/>
    <col collapsed="false" customWidth="true" hidden="false" outlineLevel="0" max="2823" min="2823" style="0" width="11.45"/>
    <col collapsed="false" customWidth="true" hidden="false" outlineLevel="0" max="2824" min="2824" style="0" width="10.63"/>
    <col collapsed="false" customWidth="true" hidden="false" outlineLevel="0" max="2829" min="2825" style="0" width="15.63"/>
    <col collapsed="false" customWidth="true" hidden="false" outlineLevel="0" max="2830" min="2830" style="0" width="3.63"/>
    <col collapsed="false" customWidth="true" hidden="false" outlineLevel="0" max="2835" min="2831" style="0" width="15.63"/>
    <col collapsed="false" customWidth="true" hidden="false" outlineLevel="0" max="2837" min="2837" style="0" width="11.36"/>
    <col collapsed="false" customWidth="true" hidden="false" outlineLevel="0" max="3074" min="3073" style="0" width="1.63"/>
    <col collapsed="false" customWidth="true" hidden="false" outlineLevel="0" max="3077" min="3076" style="0" width="9.36"/>
    <col collapsed="false" customWidth="true" hidden="false" outlineLevel="0" max="3078" min="3078" style="0" width="9.82"/>
    <col collapsed="false" customWidth="true" hidden="false" outlineLevel="0" max="3079" min="3079" style="0" width="11.45"/>
    <col collapsed="false" customWidth="true" hidden="false" outlineLevel="0" max="3080" min="3080" style="0" width="10.63"/>
    <col collapsed="false" customWidth="true" hidden="false" outlineLevel="0" max="3085" min="3081" style="0" width="15.63"/>
    <col collapsed="false" customWidth="true" hidden="false" outlineLevel="0" max="3086" min="3086" style="0" width="3.63"/>
    <col collapsed="false" customWidth="true" hidden="false" outlineLevel="0" max="3091" min="3087" style="0" width="15.63"/>
    <col collapsed="false" customWidth="true" hidden="false" outlineLevel="0" max="3093" min="3093" style="0" width="11.36"/>
    <col collapsed="false" customWidth="true" hidden="false" outlineLevel="0" max="3330" min="3329" style="0" width="1.63"/>
    <col collapsed="false" customWidth="true" hidden="false" outlineLevel="0" max="3333" min="3332" style="0" width="9.36"/>
    <col collapsed="false" customWidth="true" hidden="false" outlineLevel="0" max="3334" min="3334" style="0" width="9.82"/>
    <col collapsed="false" customWidth="true" hidden="false" outlineLevel="0" max="3335" min="3335" style="0" width="11.45"/>
    <col collapsed="false" customWidth="true" hidden="false" outlineLevel="0" max="3336" min="3336" style="0" width="10.63"/>
    <col collapsed="false" customWidth="true" hidden="false" outlineLevel="0" max="3341" min="3337" style="0" width="15.63"/>
    <col collapsed="false" customWidth="true" hidden="false" outlineLevel="0" max="3342" min="3342" style="0" width="3.63"/>
    <col collapsed="false" customWidth="true" hidden="false" outlineLevel="0" max="3347" min="3343" style="0" width="15.63"/>
    <col collapsed="false" customWidth="true" hidden="false" outlineLevel="0" max="3349" min="3349" style="0" width="11.36"/>
    <col collapsed="false" customWidth="true" hidden="false" outlineLevel="0" max="3586" min="3585" style="0" width="1.63"/>
    <col collapsed="false" customWidth="true" hidden="false" outlineLevel="0" max="3589" min="3588" style="0" width="9.36"/>
    <col collapsed="false" customWidth="true" hidden="false" outlineLevel="0" max="3590" min="3590" style="0" width="9.82"/>
    <col collapsed="false" customWidth="true" hidden="false" outlineLevel="0" max="3591" min="3591" style="0" width="11.45"/>
    <col collapsed="false" customWidth="true" hidden="false" outlineLevel="0" max="3592" min="3592" style="0" width="10.63"/>
    <col collapsed="false" customWidth="true" hidden="false" outlineLevel="0" max="3597" min="3593" style="0" width="15.63"/>
    <col collapsed="false" customWidth="true" hidden="false" outlineLevel="0" max="3598" min="3598" style="0" width="3.63"/>
    <col collapsed="false" customWidth="true" hidden="false" outlineLevel="0" max="3603" min="3599" style="0" width="15.63"/>
    <col collapsed="false" customWidth="true" hidden="false" outlineLevel="0" max="3605" min="3605" style="0" width="11.36"/>
    <col collapsed="false" customWidth="true" hidden="false" outlineLevel="0" max="3842" min="3841" style="0" width="1.63"/>
    <col collapsed="false" customWidth="true" hidden="false" outlineLevel="0" max="3845" min="3844" style="0" width="9.36"/>
    <col collapsed="false" customWidth="true" hidden="false" outlineLevel="0" max="3846" min="3846" style="0" width="9.82"/>
    <col collapsed="false" customWidth="true" hidden="false" outlineLevel="0" max="3847" min="3847" style="0" width="11.45"/>
    <col collapsed="false" customWidth="true" hidden="false" outlineLevel="0" max="3848" min="3848" style="0" width="10.63"/>
    <col collapsed="false" customWidth="true" hidden="false" outlineLevel="0" max="3853" min="3849" style="0" width="15.63"/>
    <col collapsed="false" customWidth="true" hidden="false" outlineLevel="0" max="3854" min="3854" style="0" width="3.63"/>
    <col collapsed="false" customWidth="true" hidden="false" outlineLevel="0" max="3859" min="3855" style="0" width="15.63"/>
    <col collapsed="false" customWidth="true" hidden="false" outlineLevel="0" max="3861" min="3861" style="0" width="11.36"/>
    <col collapsed="false" customWidth="true" hidden="false" outlineLevel="0" max="4098" min="4097" style="0" width="1.63"/>
    <col collapsed="false" customWidth="true" hidden="false" outlineLevel="0" max="4101" min="4100" style="0" width="9.36"/>
    <col collapsed="false" customWidth="true" hidden="false" outlineLevel="0" max="4102" min="4102" style="0" width="9.82"/>
    <col collapsed="false" customWidth="true" hidden="false" outlineLevel="0" max="4103" min="4103" style="0" width="11.45"/>
    <col collapsed="false" customWidth="true" hidden="false" outlineLevel="0" max="4104" min="4104" style="0" width="10.63"/>
    <col collapsed="false" customWidth="true" hidden="false" outlineLevel="0" max="4109" min="4105" style="0" width="15.63"/>
    <col collapsed="false" customWidth="true" hidden="false" outlineLevel="0" max="4110" min="4110" style="0" width="3.63"/>
    <col collapsed="false" customWidth="true" hidden="false" outlineLevel="0" max="4115" min="4111" style="0" width="15.63"/>
    <col collapsed="false" customWidth="true" hidden="false" outlineLevel="0" max="4117" min="4117" style="0" width="11.36"/>
    <col collapsed="false" customWidth="true" hidden="false" outlineLevel="0" max="4354" min="4353" style="0" width="1.63"/>
    <col collapsed="false" customWidth="true" hidden="false" outlineLevel="0" max="4357" min="4356" style="0" width="9.36"/>
    <col collapsed="false" customWidth="true" hidden="false" outlineLevel="0" max="4358" min="4358" style="0" width="9.82"/>
    <col collapsed="false" customWidth="true" hidden="false" outlineLevel="0" max="4359" min="4359" style="0" width="11.45"/>
    <col collapsed="false" customWidth="true" hidden="false" outlineLevel="0" max="4360" min="4360" style="0" width="10.63"/>
    <col collapsed="false" customWidth="true" hidden="false" outlineLevel="0" max="4365" min="4361" style="0" width="15.63"/>
    <col collapsed="false" customWidth="true" hidden="false" outlineLevel="0" max="4366" min="4366" style="0" width="3.63"/>
    <col collapsed="false" customWidth="true" hidden="false" outlineLevel="0" max="4371" min="4367" style="0" width="15.63"/>
    <col collapsed="false" customWidth="true" hidden="false" outlineLevel="0" max="4373" min="4373" style="0" width="11.36"/>
    <col collapsed="false" customWidth="true" hidden="false" outlineLevel="0" max="4610" min="4609" style="0" width="1.63"/>
    <col collapsed="false" customWidth="true" hidden="false" outlineLevel="0" max="4613" min="4612" style="0" width="9.36"/>
    <col collapsed="false" customWidth="true" hidden="false" outlineLevel="0" max="4614" min="4614" style="0" width="9.82"/>
    <col collapsed="false" customWidth="true" hidden="false" outlineLevel="0" max="4615" min="4615" style="0" width="11.45"/>
    <col collapsed="false" customWidth="true" hidden="false" outlineLevel="0" max="4616" min="4616" style="0" width="10.63"/>
    <col collapsed="false" customWidth="true" hidden="false" outlineLevel="0" max="4621" min="4617" style="0" width="15.63"/>
    <col collapsed="false" customWidth="true" hidden="false" outlineLevel="0" max="4622" min="4622" style="0" width="3.63"/>
    <col collapsed="false" customWidth="true" hidden="false" outlineLevel="0" max="4627" min="4623" style="0" width="15.63"/>
    <col collapsed="false" customWidth="true" hidden="false" outlineLevel="0" max="4629" min="4629" style="0" width="11.36"/>
    <col collapsed="false" customWidth="true" hidden="false" outlineLevel="0" max="4866" min="4865" style="0" width="1.63"/>
    <col collapsed="false" customWidth="true" hidden="false" outlineLevel="0" max="4869" min="4868" style="0" width="9.36"/>
    <col collapsed="false" customWidth="true" hidden="false" outlineLevel="0" max="4870" min="4870" style="0" width="9.82"/>
    <col collapsed="false" customWidth="true" hidden="false" outlineLevel="0" max="4871" min="4871" style="0" width="11.45"/>
    <col collapsed="false" customWidth="true" hidden="false" outlineLevel="0" max="4872" min="4872" style="0" width="10.63"/>
    <col collapsed="false" customWidth="true" hidden="false" outlineLevel="0" max="4877" min="4873" style="0" width="15.63"/>
    <col collapsed="false" customWidth="true" hidden="false" outlineLevel="0" max="4878" min="4878" style="0" width="3.63"/>
    <col collapsed="false" customWidth="true" hidden="false" outlineLevel="0" max="4883" min="4879" style="0" width="15.63"/>
    <col collapsed="false" customWidth="true" hidden="false" outlineLevel="0" max="4885" min="4885" style="0" width="11.36"/>
    <col collapsed="false" customWidth="true" hidden="false" outlineLevel="0" max="5122" min="5121" style="0" width="1.63"/>
    <col collapsed="false" customWidth="true" hidden="false" outlineLevel="0" max="5125" min="5124" style="0" width="9.36"/>
    <col collapsed="false" customWidth="true" hidden="false" outlineLevel="0" max="5126" min="5126" style="0" width="9.82"/>
    <col collapsed="false" customWidth="true" hidden="false" outlineLevel="0" max="5127" min="5127" style="0" width="11.45"/>
    <col collapsed="false" customWidth="true" hidden="false" outlineLevel="0" max="5128" min="5128" style="0" width="10.63"/>
    <col collapsed="false" customWidth="true" hidden="false" outlineLevel="0" max="5133" min="5129" style="0" width="15.63"/>
    <col collapsed="false" customWidth="true" hidden="false" outlineLevel="0" max="5134" min="5134" style="0" width="3.63"/>
    <col collapsed="false" customWidth="true" hidden="false" outlineLevel="0" max="5139" min="5135" style="0" width="15.63"/>
    <col collapsed="false" customWidth="true" hidden="false" outlineLevel="0" max="5141" min="5141" style="0" width="11.36"/>
    <col collapsed="false" customWidth="true" hidden="false" outlineLevel="0" max="5378" min="5377" style="0" width="1.63"/>
    <col collapsed="false" customWidth="true" hidden="false" outlineLevel="0" max="5381" min="5380" style="0" width="9.36"/>
    <col collapsed="false" customWidth="true" hidden="false" outlineLevel="0" max="5382" min="5382" style="0" width="9.82"/>
    <col collapsed="false" customWidth="true" hidden="false" outlineLevel="0" max="5383" min="5383" style="0" width="11.45"/>
    <col collapsed="false" customWidth="true" hidden="false" outlineLevel="0" max="5384" min="5384" style="0" width="10.63"/>
    <col collapsed="false" customWidth="true" hidden="false" outlineLevel="0" max="5389" min="5385" style="0" width="15.63"/>
    <col collapsed="false" customWidth="true" hidden="false" outlineLevel="0" max="5390" min="5390" style="0" width="3.63"/>
    <col collapsed="false" customWidth="true" hidden="false" outlineLevel="0" max="5395" min="5391" style="0" width="15.63"/>
    <col collapsed="false" customWidth="true" hidden="false" outlineLevel="0" max="5397" min="5397" style="0" width="11.36"/>
    <col collapsed="false" customWidth="true" hidden="false" outlineLevel="0" max="5634" min="5633" style="0" width="1.63"/>
    <col collapsed="false" customWidth="true" hidden="false" outlineLevel="0" max="5637" min="5636" style="0" width="9.36"/>
    <col collapsed="false" customWidth="true" hidden="false" outlineLevel="0" max="5638" min="5638" style="0" width="9.82"/>
    <col collapsed="false" customWidth="true" hidden="false" outlineLevel="0" max="5639" min="5639" style="0" width="11.45"/>
    <col collapsed="false" customWidth="true" hidden="false" outlineLevel="0" max="5640" min="5640" style="0" width="10.63"/>
    <col collapsed="false" customWidth="true" hidden="false" outlineLevel="0" max="5645" min="5641" style="0" width="15.63"/>
    <col collapsed="false" customWidth="true" hidden="false" outlineLevel="0" max="5646" min="5646" style="0" width="3.63"/>
    <col collapsed="false" customWidth="true" hidden="false" outlineLevel="0" max="5651" min="5647" style="0" width="15.63"/>
    <col collapsed="false" customWidth="true" hidden="false" outlineLevel="0" max="5653" min="5653" style="0" width="11.36"/>
    <col collapsed="false" customWidth="true" hidden="false" outlineLevel="0" max="5890" min="5889" style="0" width="1.63"/>
    <col collapsed="false" customWidth="true" hidden="false" outlineLevel="0" max="5893" min="5892" style="0" width="9.36"/>
    <col collapsed="false" customWidth="true" hidden="false" outlineLevel="0" max="5894" min="5894" style="0" width="9.82"/>
    <col collapsed="false" customWidth="true" hidden="false" outlineLevel="0" max="5895" min="5895" style="0" width="11.45"/>
    <col collapsed="false" customWidth="true" hidden="false" outlineLevel="0" max="5896" min="5896" style="0" width="10.63"/>
    <col collapsed="false" customWidth="true" hidden="false" outlineLevel="0" max="5901" min="5897" style="0" width="15.63"/>
    <col collapsed="false" customWidth="true" hidden="false" outlineLevel="0" max="5902" min="5902" style="0" width="3.63"/>
    <col collapsed="false" customWidth="true" hidden="false" outlineLevel="0" max="5907" min="5903" style="0" width="15.63"/>
    <col collapsed="false" customWidth="true" hidden="false" outlineLevel="0" max="5909" min="5909" style="0" width="11.36"/>
    <col collapsed="false" customWidth="true" hidden="false" outlineLevel="0" max="6146" min="6145" style="0" width="1.63"/>
    <col collapsed="false" customWidth="true" hidden="false" outlineLevel="0" max="6149" min="6148" style="0" width="9.36"/>
    <col collapsed="false" customWidth="true" hidden="false" outlineLevel="0" max="6150" min="6150" style="0" width="9.82"/>
    <col collapsed="false" customWidth="true" hidden="false" outlineLevel="0" max="6151" min="6151" style="0" width="11.45"/>
    <col collapsed="false" customWidth="true" hidden="false" outlineLevel="0" max="6152" min="6152" style="0" width="10.63"/>
    <col collapsed="false" customWidth="true" hidden="false" outlineLevel="0" max="6157" min="6153" style="0" width="15.63"/>
    <col collapsed="false" customWidth="true" hidden="false" outlineLevel="0" max="6158" min="6158" style="0" width="3.63"/>
    <col collapsed="false" customWidth="true" hidden="false" outlineLevel="0" max="6163" min="6159" style="0" width="15.63"/>
    <col collapsed="false" customWidth="true" hidden="false" outlineLevel="0" max="6165" min="6165" style="0" width="11.36"/>
    <col collapsed="false" customWidth="true" hidden="false" outlineLevel="0" max="6402" min="6401" style="0" width="1.63"/>
    <col collapsed="false" customWidth="true" hidden="false" outlineLevel="0" max="6405" min="6404" style="0" width="9.36"/>
    <col collapsed="false" customWidth="true" hidden="false" outlineLevel="0" max="6406" min="6406" style="0" width="9.82"/>
    <col collapsed="false" customWidth="true" hidden="false" outlineLevel="0" max="6407" min="6407" style="0" width="11.45"/>
    <col collapsed="false" customWidth="true" hidden="false" outlineLevel="0" max="6408" min="6408" style="0" width="10.63"/>
    <col collapsed="false" customWidth="true" hidden="false" outlineLevel="0" max="6413" min="6409" style="0" width="15.63"/>
    <col collapsed="false" customWidth="true" hidden="false" outlineLevel="0" max="6414" min="6414" style="0" width="3.63"/>
    <col collapsed="false" customWidth="true" hidden="false" outlineLevel="0" max="6419" min="6415" style="0" width="15.63"/>
    <col collapsed="false" customWidth="true" hidden="false" outlineLevel="0" max="6421" min="6421" style="0" width="11.36"/>
    <col collapsed="false" customWidth="true" hidden="false" outlineLevel="0" max="6658" min="6657" style="0" width="1.63"/>
    <col collapsed="false" customWidth="true" hidden="false" outlineLevel="0" max="6661" min="6660" style="0" width="9.36"/>
    <col collapsed="false" customWidth="true" hidden="false" outlineLevel="0" max="6662" min="6662" style="0" width="9.82"/>
    <col collapsed="false" customWidth="true" hidden="false" outlineLevel="0" max="6663" min="6663" style="0" width="11.45"/>
    <col collapsed="false" customWidth="true" hidden="false" outlineLevel="0" max="6664" min="6664" style="0" width="10.63"/>
    <col collapsed="false" customWidth="true" hidden="false" outlineLevel="0" max="6669" min="6665" style="0" width="15.63"/>
    <col collapsed="false" customWidth="true" hidden="false" outlineLevel="0" max="6670" min="6670" style="0" width="3.63"/>
    <col collapsed="false" customWidth="true" hidden="false" outlineLevel="0" max="6675" min="6671" style="0" width="15.63"/>
    <col collapsed="false" customWidth="true" hidden="false" outlineLevel="0" max="6677" min="6677" style="0" width="11.36"/>
    <col collapsed="false" customWidth="true" hidden="false" outlineLevel="0" max="6914" min="6913" style="0" width="1.63"/>
    <col collapsed="false" customWidth="true" hidden="false" outlineLevel="0" max="6917" min="6916" style="0" width="9.36"/>
    <col collapsed="false" customWidth="true" hidden="false" outlineLevel="0" max="6918" min="6918" style="0" width="9.82"/>
    <col collapsed="false" customWidth="true" hidden="false" outlineLevel="0" max="6919" min="6919" style="0" width="11.45"/>
    <col collapsed="false" customWidth="true" hidden="false" outlineLevel="0" max="6920" min="6920" style="0" width="10.63"/>
    <col collapsed="false" customWidth="true" hidden="false" outlineLevel="0" max="6925" min="6921" style="0" width="15.63"/>
    <col collapsed="false" customWidth="true" hidden="false" outlineLevel="0" max="6926" min="6926" style="0" width="3.63"/>
    <col collapsed="false" customWidth="true" hidden="false" outlineLevel="0" max="6931" min="6927" style="0" width="15.63"/>
    <col collapsed="false" customWidth="true" hidden="false" outlineLevel="0" max="6933" min="6933" style="0" width="11.36"/>
    <col collapsed="false" customWidth="true" hidden="false" outlineLevel="0" max="7170" min="7169" style="0" width="1.63"/>
    <col collapsed="false" customWidth="true" hidden="false" outlineLevel="0" max="7173" min="7172" style="0" width="9.36"/>
    <col collapsed="false" customWidth="true" hidden="false" outlineLevel="0" max="7174" min="7174" style="0" width="9.82"/>
    <col collapsed="false" customWidth="true" hidden="false" outlineLevel="0" max="7175" min="7175" style="0" width="11.45"/>
    <col collapsed="false" customWidth="true" hidden="false" outlineLevel="0" max="7176" min="7176" style="0" width="10.63"/>
    <col collapsed="false" customWidth="true" hidden="false" outlineLevel="0" max="7181" min="7177" style="0" width="15.63"/>
    <col collapsed="false" customWidth="true" hidden="false" outlineLevel="0" max="7182" min="7182" style="0" width="3.63"/>
    <col collapsed="false" customWidth="true" hidden="false" outlineLevel="0" max="7187" min="7183" style="0" width="15.63"/>
    <col collapsed="false" customWidth="true" hidden="false" outlineLevel="0" max="7189" min="7189" style="0" width="11.36"/>
    <col collapsed="false" customWidth="true" hidden="false" outlineLevel="0" max="7426" min="7425" style="0" width="1.63"/>
    <col collapsed="false" customWidth="true" hidden="false" outlineLevel="0" max="7429" min="7428" style="0" width="9.36"/>
    <col collapsed="false" customWidth="true" hidden="false" outlineLevel="0" max="7430" min="7430" style="0" width="9.82"/>
    <col collapsed="false" customWidth="true" hidden="false" outlineLevel="0" max="7431" min="7431" style="0" width="11.45"/>
    <col collapsed="false" customWidth="true" hidden="false" outlineLevel="0" max="7432" min="7432" style="0" width="10.63"/>
    <col collapsed="false" customWidth="true" hidden="false" outlineLevel="0" max="7437" min="7433" style="0" width="15.63"/>
    <col collapsed="false" customWidth="true" hidden="false" outlineLevel="0" max="7438" min="7438" style="0" width="3.63"/>
    <col collapsed="false" customWidth="true" hidden="false" outlineLevel="0" max="7443" min="7439" style="0" width="15.63"/>
    <col collapsed="false" customWidth="true" hidden="false" outlineLevel="0" max="7445" min="7445" style="0" width="11.36"/>
    <col collapsed="false" customWidth="true" hidden="false" outlineLevel="0" max="7682" min="7681" style="0" width="1.63"/>
    <col collapsed="false" customWidth="true" hidden="false" outlineLevel="0" max="7685" min="7684" style="0" width="9.36"/>
    <col collapsed="false" customWidth="true" hidden="false" outlineLevel="0" max="7686" min="7686" style="0" width="9.82"/>
    <col collapsed="false" customWidth="true" hidden="false" outlineLevel="0" max="7687" min="7687" style="0" width="11.45"/>
    <col collapsed="false" customWidth="true" hidden="false" outlineLevel="0" max="7688" min="7688" style="0" width="10.63"/>
    <col collapsed="false" customWidth="true" hidden="false" outlineLevel="0" max="7693" min="7689" style="0" width="15.63"/>
    <col collapsed="false" customWidth="true" hidden="false" outlineLevel="0" max="7694" min="7694" style="0" width="3.63"/>
    <col collapsed="false" customWidth="true" hidden="false" outlineLevel="0" max="7699" min="7695" style="0" width="15.63"/>
    <col collapsed="false" customWidth="true" hidden="false" outlineLevel="0" max="7701" min="7701" style="0" width="11.36"/>
    <col collapsed="false" customWidth="true" hidden="false" outlineLevel="0" max="7938" min="7937" style="0" width="1.63"/>
    <col collapsed="false" customWidth="true" hidden="false" outlineLevel="0" max="7941" min="7940" style="0" width="9.36"/>
    <col collapsed="false" customWidth="true" hidden="false" outlineLevel="0" max="7942" min="7942" style="0" width="9.82"/>
    <col collapsed="false" customWidth="true" hidden="false" outlineLevel="0" max="7943" min="7943" style="0" width="11.45"/>
    <col collapsed="false" customWidth="true" hidden="false" outlineLevel="0" max="7944" min="7944" style="0" width="10.63"/>
    <col collapsed="false" customWidth="true" hidden="false" outlineLevel="0" max="7949" min="7945" style="0" width="15.63"/>
    <col collapsed="false" customWidth="true" hidden="false" outlineLevel="0" max="7950" min="7950" style="0" width="3.63"/>
    <col collapsed="false" customWidth="true" hidden="false" outlineLevel="0" max="7955" min="7951" style="0" width="15.63"/>
    <col collapsed="false" customWidth="true" hidden="false" outlineLevel="0" max="7957" min="7957" style="0" width="11.36"/>
    <col collapsed="false" customWidth="true" hidden="false" outlineLevel="0" max="8194" min="8193" style="0" width="1.63"/>
    <col collapsed="false" customWidth="true" hidden="false" outlineLevel="0" max="8197" min="8196" style="0" width="9.36"/>
    <col collapsed="false" customWidth="true" hidden="false" outlineLevel="0" max="8198" min="8198" style="0" width="9.82"/>
    <col collapsed="false" customWidth="true" hidden="false" outlineLevel="0" max="8199" min="8199" style="0" width="11.45"/>
    <col collapsed="false" customWidth="true" hidden="false" outlineLevel="0" max="8200" min="8200" style="0" width="10.63"/>
    <col collapsed="false" customWidth="true" hidden="false" outlineLevel="0" max="8205" min="8201" style="0" width="15.63"/>
    <col collapsed="false" customWidth="true" hidden="false" outlineLevel="0" max="8206" min="8206" style="0" width="3.63"/>
    <col collapsed="false" customWidth="true" hidden="false" outlineLevel="0" max="8211" min="8207" style="0" width="15.63"/>
    <col collapsed="false" customWidth="true" hidden="false" outlineLevel="0" max="8213" min="8213" style="0" width="11.36"/>
    <col collapsed="false" customWidth="true" hidden="false" outlineLevel="0" max="8450" min="8449" style="0" width="1.63"/>
    <col collapsed="false" customWidth="true" hidden="false" outlineLevel="0" max="8453" min="8452" style="0" width="9.36"/>
    <col collapsed="false" customWidth="true" hidden="false" outlineLevel="0" max="8454" min="8454" style="0" width="9.82"/>
    <col collapsed="false" customWidth="true" hidden="false" outlineLevel="0" max="8455" min="8455" style="0" width="11.45"/>
    <col collapsed="false" customWidth="true" hidden="false" outlineLevel="0" max="8456" min="8456" style="0" width="10.63"/>
    <col collapsed="false" customWidth="true" hidden="false" outlineLevel="0" max="8461" min="8457" style="0" width="15.63"/>
    <col collapsed="false" customWidth="true" hidden="false" outlineLevel="0" max="8462" min="8462" style="0" width="3.63"/>
    <col collapsed="false" customWidth="true" hidden="false" outlineLevel="0" max="8467" min="8463" style="0" width="15.63"/>
    <col collapsed="false" customWidth="true" hidden="false" outlineLevel="0" max="8469" min="8469" style="0" width="11.36"/>
    <col collapsed="false" customWidth="true" hidden="false" outlineLevel="0" max="8706" min="8705" style="0" width="1.63"/>
    <col collapsed="false" customWidth="true" hidden="false" outlineLevel="0" max="8709" min="8708" style="0" width="9.36"/>
    <col collapsed="false" customWidth="true" hidden="false" outlineLevel="0" max="8710" min="8710" style="0" width="9.82"/>
    <col collapsed="false" customWidth="true" hidden="false" outlineLevel="0" max="8711" min="8711" style="0" width="11.45"/>
    <col collapsed="false" customWidth="true" hidden="false" outlineLevel="0" max="8712" min="8712" style="0" width="10.63"/>
    <col collapsed="false" customWidth="true" hidden="false" outlineLevel="0" max="8717" min="8713" style="0" width="15.63"/>
    <col collapsed="false" customWidth="true" hidden="false" outlineLevel="0" max="8718" min="8718" style="0" width="3.63"/>
    <col collapsed="false" customWidth="true" hidden="false" outlineLevel="0" max="8723" min="8719" style="0" width="15.63"/>
    <col collapsed="false" customWidth="true" hidden="false" outlineLevel="0" max="8725" min="8725" style="0" width="11.36"/>
    <col collapsed="false" customWidth="true" hidden="false" outlineLevel="0" max="8962" min="8961" style="0" width="1.63"/>
    <col collapsed="false" customWidth="true" hidden="false" outlineLevel="0" max="8965" min="8964" style="0" width="9.36"/>
    <col collapsed="false" customWidth="true" hidden="false" outlineLevel="0" max="8966" min="8966" style="0" width="9.82"/>
    <col collapsed="false" customWidth="true" hidden="false" outlineLevel="0" max="8967" min="8967" style="0" width="11.45"/>
    <col collapsed="false" customWidth="true" hidden="false" outlineLevel="0" max="8968" min="8968" style="0" width="10.63"/>
    <col collapsed="false" customWidth="true" hidden="false" outlineLevel="0" max="8973" min="8969" style="0" width="15.63"/>
    <col collapsed="false" customWidth="true" hidden="false" outlineLevel="0" max="8974" min="8974" style="0" width="3.63"/>
    <col collapsed="false" customWidth="true" hidden="false" outlineLevel="0" max="8979" min="8975" style="0" width="15.63"/>
    <col collapsed="false" customWidth="true" hidden="false" outlineLevel="0" max="8981" min="8981" style="0" width="11.36"/>
    <col collapsed="false" customWidth="true" hidden="false" outlineLevel="0" max="9218" min="9217" style="0" width="1.63"/>
    <col collapsed="false" customWidth="true" hidden="false" outlineLevel="0" max="9221" min="9220" style="0" width="9.36"/>
    <col collapsed="false" customWidth="true" hidden="false" outlineLevel="0" max="9222" min="9222" style="0" width="9.82"/>
    <col collapsed="false" customWidth="true" hidden="false" outlineLevel="0" max="9223" min="9223" style="0" width="11.45"/>
    <col collapsed="false" customWidth="true" hidden="false" outlineLevel="0" max="9224" min="9224" style="0" width="10.63"/>
    <col collapsed="false" customWidth="true" hidden="false" outlineLevel="0" max="9229" min="9225" style="0" width="15.63"/>
    <col collapsed="false" customWidth="true" hidden="false" outlineLevel="0" max="9230" min="9230" style="0" width="3.63"/>
    <col collapsed="false" customWidth="true" hidden="false" outlineLevel="0" max="9235" min="9231" style="0" width="15.63"/>
    <col collapsed="false" customWidth="true" hidden="false" outlineLevel="0" max="9237" min="9237" style="0" width="11.36"/>
    <col collapsed="false" customWidth="true" hidden="false" outlineLevel="0" max="9474" min="9473" style="0" width="1.63"/>
    <col collapsed="false" customWidth="true" hidden="false" outlineLevel="0" max="9477" min="9476" style="0" width="9.36"/>
    <col collapsed="false" customWidth="true" hidden="false" outlineLevel="0" max="9478" min="9478" style="0" width="9.82"/>
    <col collapsed="false" customWidth="true" hidden="false" outlineLevel="0" max="9479" min="9479" style="0" width="11.45"/>
    <col collapsed="false" customWidth="true" hidden="false" outlineLevel="0" max="9480" min="9480" style="0" width="10.63"/>
    <col collapsed="false" customWidth="true" hidden="false" outlineLevel="0" max="9485" min="9481" style="0" width="15.63"/>
    <col collapsed="false" customWidth="true" hidden="false" outlineLevel="0" max="9486" min="9486" style="0" width="3.63"/>
    <col collapsed="false" customWidth="true" hidden="false" outlineLevel="0" max="9491" min="9487" style="0" width="15.63"/>
    <col collapsed="false" customWidth="true" hidden="false" outlineLevel="0" max="9493" min="9493" style="0" width="11.36"/>
    <col collapsed="false" customWidth="true" hidden="false" outlineLevel="0" max="9730" min="9729" style="0" width="1.63"/>
    <col collapsed="false" customWidth="true" hidden="false" outlineLevel="0" max="9733" min="9732" style="0" width="9.36"/>
    <col collapsed="false" customWidth="true" hidden="false" outlineLevel="0" max="9734" min="9734" style="0" width="9.82"/>
    <col collapsed="false" customWidth="true" hidden="false" outlineLevel="0" max="9735" min="9735" style="0" width="11.45"/>
    <col collapsed="false" customWidth="true" hidden="false" outlineLevel="0" max="9736" min="9736" style="0" width="10.63"/>
    <col collapsed="false" customWidth="true" hidden="false" outlineLevel="0" max="9741" min="9737" style="0" width="15.63"/>
    <col collapsed="false" customWidth="true" hidden="false" outlineLevel="0" max="9742" min="9742" style="0" width="3.63"/>
    <col collapsed="false" customWidth="true" hidden="false" outlineLevel="0" max="9747" min="9743" style="0" width="15.63"/>
    <col collapsed="false" customWidth="true" hidden="false" outlineLevel="0" max="9749" min="9749" style="0" width="11.36"/>
    <col collapsed="false" customWidth="true" hidden="false" outlineLevel="0" max="9986" min="9985" style="0" width="1.63"/>
    <col collapsed="false" customWidth="true" hidden="false" outlineLevel="0" max="9989" min="9988" style="0" width="9.36"/>
    <col collapsed="false" customWidth="true" hidden="false" outlineLevel="0" max="9990" min="9990" style="0" width="9.82"/>
    <col collapsed="false" customWidth="true" hidden="false" outlineLevel="0" max="9991" min="9991" style="0" width="11.45"/>
    <col collapsed="false" customWidth="true" hidden="false" outlineLevel="0" max="9992" min="9992" style="0" width="10.63"/>
    <col collapsed="false" customWidth="true" hidden="false" outlineLevel="0" max="9997" min="9993" style="0" width="15.63"/>
    <col collapsed="false" customWidth="true" hidden="false" outlineLevel="0" max="9998" min="9998" style="0" width="3.63"/>
    <col collapsed="false" customWidth="true" hidden="false" outlineLevel="0" max="10003" min="9999" style="0" width="15.63"/>
    <col collapsed="false" customWidth="true" hidden="false" outlineLevel="0" max="10005" min="10005" style="0" width="11.36"/>
    <col collapsed="false" customWidth="true" hidden="false" outlineLevel="0" max="10242" min="10241" style="0" width="1.63"/>
    <col collapsed="false" customWidth="true" hidden="false" outlineLevel="0" max="10245" min="10244" style="0" width="9.36"/>
    <col collapsed="false" customWidth="true" hidden="false" outlineLevel="0" max="10246" min="10246" style="0" width="9.82"/>
    <col collapsed="false" customWidth="true" hidden="false" outlineLevel="0" max="10247" min="10247" style="0" width="11.45"/>
    <col collapsed="false" customWidth="true" hidden="false" outlineLevel="0" max="10248" min="10248" style="0" width="10.63"/>
    <col collapsed="false" customWidth="true" hidden="false" outlineLevel="0" max="10253" min="10249" style="0" width="15.63"/>
    <col collapsed="false" customWidth="true" hidden="false" outlineLevel="0" max="10254" min="10254" style="0" width="3.63"/>
    <col collapsed="false" customWidth="true" hidden="false" outlineLevel="0" max="10259" min="10255" style="0" width="15.63"/>
    <col collapsed="false" customWidth="true" hidden="false" outlineLevel="0" max="10261" min="10261" style="0" width="11.36"/>
    <col collapsed="false" customWidth="true" hidden="false" outlineLevel="0" max="10498" min="10497" style="0" width="1.63"/>
    <col collapsed="false" customWidth="true" hidden="false" outlineLevel="0" max="10501" min="10500" style="0" width="9.36"/>
    <col collapsed="false" customWidth="true" hidden="false" outlineLevel="0" max="10502" min="10502" style="0" width="9.82"/>
    <col collapsed="false" customWidth="true" hidden="false" outlineLevel="0" max="10503" min="10503" style="0" width="11.45"/>
    <col collapsed="false" customWidth="true" hidden="false" outlineLevel="0" max="10504" min="10504" style="0" width="10.63"/>
    <col collapsed="false" customWidth="true" hidden="false" outlineLevel="0" max="10509" min="10505" style="0" width="15.63"/>
    <col collapsed="false" customWidth="true" hidden="false" outlineLevel="0" max="10510" min="10510" style="0" width="3.63"/>
    <col collapsed="false" customWidth="true" hidden="false" outlineLevel="0" max="10515" min="10511" style="0" width="15.63"/>
    <col collapsed="false" customWidth="true" hidden="false" outlineLevel="0" max="10517" min="10517" style="0" width="11.36"/>
    <col collapsed="false" customWidth="true" hidden="false" outlineLevel="0" max="10754" min="10753" style="0" width="1.63"/>
    <col collapsed="false" customWidth="true" hidden="false" outlineLevel="0" max="10757" min="10756" style="0" width="9.36"/>
    <col collapsed="false" customWidth="true" hidden="false" outlineLevel="0" max="10758" min="10758" style="0" width="9.82"/>
    <col collapsed="false" customWidth="true" hidden="false" outlineLevel="0" max="10759" min="10759" style="0" width="11.45"/>
    <col collapsed="false" customWidth="true" hidden="false" outlineLevel="0" max="10760" min="10760" style="0" width="10.63"/>
    <col collapsed="false" customWidth="true" hidden="false" outlineLevel="0" max="10765" min="10761" style="0" width="15.63"/>
    <col collapsed="false" customWidth="true" hidden="false" outlineLevel="0" max="10766" min="10766" style="0" width="3.63"/>
    <col collapsed="false" customWidth="true" hidden="false" outlineLevel="0" max="10771" min="10767" style="0" width="15.63"/>
    <col collapsed="false" customWidth="true" hidden="false" outlineLevel="0" max="10773" min="10773" style="0" width="11.36"/>
    <col collapsed="false" customWidth="true" hidden="false" outlineLevel="0" max="11010" min="11009" style="0" width="1.63"/>
    <col collapsed="false" customWidth="true" hidden="false" outlineLevel="0" max="11013" min="11012" style="0" width="9.36"/>
    <col collapsed="false" customWidth="true" hidden="false" outlineLevel="0" max="11014" min="11014" style="0" width="9.82"/>
    <col collapsed="false" customWidth="true" hidden="false" outlineLevel="0" max="11015" min="11015" style="0" width="11.45"/>
    <col collapsed="false" customWidth="true" hidden="false" outlineLevel="0" max="11016" min="11016" style="0" width="10.63"/>
    <col collapsed="false" customWidth="true" hidden="false" outlineLevel="0" max="11021" min="11017" style="0" width="15.63"/>
    <col collapsed="false" customWidth="true" hidden="false" outlineLevel="0" max="11022" min="11022" style="0" width="3.63"/>
    <col collapsed="false" customWidth="true" hidden="false" outlineLevel="0" max="11027" min="11023" style="0" width="15.63"/>
    <col collapsed="false" customWidth="true" hidden="false" outlineLevel="0" max="11029" min="11029" style="0" width="11.36"/>
    <col collapsed="false" customWidth="true" hidden="false" outlineLevel="0" max="11266" min="11265" style="0" width="1.63"/>
    <col collapsed="false" customWidth="true" hidden="false" outlineLevel="0" max="11269" min="11268" style="0" width="9.36"/>
    <col collapsed="false" customWidth="true" hidden="false" outlineLevel="0" max="11270" min="11270" style="0" width="9.82"/>
    <col collapsed="false" customWidth="true" hidden="false" outlineLevel="0" max="11271" min="11271" style="0" width="11.45"/>
    <col collapsed="false" customWidth="true" hidden="false" outlineLevel="0" max="11272" min="11272" style="0" width="10.63"/>
    <col collapsed="false" customWidth="true" hidden="false" outlineLevel="0" max="11277" min="11273" style="0" width="15.63"/>
    <col collapsed="false" customWidth="true" hidden="false" outlineLevel="0" max="11278" min="11278" style="0" width="3.63"/>
    <col collapsed="false" customWidth="true" hidden="false" outlineLevel="0" max="11283" min="11279" style="0" width="15.63"/>
    <col collapsed="false" customWidth="true" hidden="false" outlineLevel="0" max="11285" min="11285" style="0" width="11.36"/>
    <col collapsed="false" customWidth="true" hidden="false" outlineLevel="0" max="11522" min="11521" style="0" width="1.63"/>
    <col collapsed="false" customWidth="true" hidden="false" outlineLevel="0" max="11525" min="11524" style="0" width="9.36"/>
    <col collapsed="false" customWidth="true" hidden="false" outlineLevel="0" max="11526" min="11526" style="0" width="9.82"/>
    <col collapsed="false" customWidth="true" hidden="false" outlineLevel="0" max="11527" min="11527" style="0" width="11.45"/>
    <col collapsed="false" customWidth="true" hidden="false" outlineLevel="0" max="11528" min="11528" style="0" width="10.63"/>
    <col collapsed="false" customWidth="true" hidden="false" outlineLevel="0" max="11533" min="11529" style="0" width="15.63"/>
    <col collapsed="false" customWidth="true" hidden="false" outlineLevel="0" max="11534" min="11534" style="0" width="3.63"/>
    <col collapsed="false" customWidth="true" hidden="false" outlineLevel="0" max="11539" min="11535" style="0" width="15.63"/>
    <col collapsed="false" customWidth="true" hidden="false" outlineLevel="0" max="11541" min="11541" style="0" width="11.36"/>
    <col collapsed="false" customWidth="true" hidden="false" outlineLevel="0" max="11778" min="11777" style="0" width="1.63"/>
    <col collapsed="false" customWidth="true" hidden="false" outlineLevel="0" max="11781" min="11780" style="0" width="9.36"/>
    <col collapsed="false" customWidth="true" hidden="false" outlineLevel="0" max="11782" min="11782" style="0" width="9.82"/>
    <col collapsed="false" customWidth="true" hidden="false" outlineLevel="0" max="11783" min="11783" style="0" width="11.45"/>
    <col collapsed="false" customWidth="true" hidden="false" outlineLevel="0" max="11784" min="11784" style="0" width="10.63"/>
    <col collapsed="false" customWidth="true" hidden="false" outlineLevel="0" max="11789" min="11785" style="0" width="15.63"/>
    <col collapsed="false" customWidth="true" hidden="false" outlineLevel="0" max="11790" min="11790" style="0" width="3.63"/>
    <col collapsed="false" customWidth="true" hidden="false" outlineLevel="0" max="11795" min="11791" style="0" width="15.63"/>
    <col collapsed="false" customWidth="true" hidden="false" outlineLevel="0" max="11797" min="11797" style="0" width="11.36"/>
    <col collapsed="false" customWidth="true" hidden="false" outlineLevel="0" max="12034" min="12033" style="0" width="1.63"/>
    <col collapsed="false" customWidth="true" hidden="false" outlineLevel="0" max="12037" min="12036" style="0" width="9.36"/>
    <col collapsed="false" customWidth="true" hidden="false" outlineLevel="0" max="12038" min="12038" style="0" width="9.82"/>
    <col collapsed="false" customWidth="true" hidden="false" outlineLevel="0" max="12039" min="12039" style="0" width="11.45"/>
    <col collapsed="false" customWidth="true" hidden="false" outlineLevel="0" max="12040" min="12040" style="0" width="10.63"/>
    <col collapsed="false" customWidth="true" hidden="false" outlineLevel="0" max="12045" min="12041" style="0" width="15.63"/>
    <col collapsed="false" customWidth="true" hidden="false" outlineLevel="0" max="12046" min="12046" style="0" width="3.63"/>
    <col collapsed="false" customWidth="true" hidden="false" outlineLevel="0" max="12051" min="12047" style="0" width="15.63"/>
    <col collapsed="false" customWidth="true" hidden="false" outlineLevel="0" max="12053" min="12053" style="0" width="11.36"/>
    <col collapsed="false" customWidth="true" hidden="false" outlineLevel="0" max="12290" min="12289" style="0" width="1.63"/>
    <col collapsed="false" customWidth="true" hidden="false" outlineLevel="0" max="12293" min="12292" style="0" width="9.36"/>
    <col collapsed="false" customWidth="true" hidden="false" outlineLevel="0" max="12294" min="12294" style="0" width="9.82"/>
    <col collapsed="false" customWidth="true" hidden="false" outlineLevel="0" max="12295" min="12295" style="0" width="11.45"/>
    <col collapsed="false" customWidth="true" hidden="false" outlineLevel="0" max="12296" min="12296" style="0" width="10.63"/>
    <col collapsed="false" customWidth="true" hidden="false" outlineLevel="0" max="12301" min="12297" style="0" width="15.63"/>
    <col collapsed="false" customWidth="true" hidden="false" outlineLevel="0" max="12302" min="12302" style="0" width="3.63"/>
    <col collapsed="false" customWidth="true" hidden="false" outlineLevel="0" max="12307" min="12303" style="0" width="15.63"/>
    <col collapsed="false" customWidth="true" hidden="false" outlineLevel="0" max="12309" min="12309" style="0" width="11.36"/>
    <col collapsed="false" customWidth="true" hidden="false" outlineLevel="0" max="12546" min="12545" style="0" width="1.63"/>
    <col collapsed="false" customWidth="true" hidden="false" outlineLevel="0" max="12549" min="12548" style="0" width="9.36"/>
    <col collapsed="false" customWidth="true" hidden="false" outlineLevel="0" max="12550" min="12550" style="0" width="9.82"/>
    <col collapsed="false" customWidth="true" hidden="false" outlineLevel="0" max="12551" min="12551" style="0" width="11.45"/>
    <col collapsed="false" customWidth="true" hidden="false" outlineLevel="0" max="12552" min="12552" style="0" width="10.63"/>
    <col collapsed="false" customWidth="true" hidden="false" outlineLevel="0" max="12557" min="12553" style="0" width="15.63"/>
    <col collapsed="false" customWidth="true" hidden="false" outlineLevel="0" max="12558" min="12558" style="0" width="3.63"/>
    <col collapsed="false" customWidth="true" hidden="false" outlineLevel="0" max="12563" min="12559" style="0" width="15.63"/>
    <col collapsed="false" customWidth="true" hidden="false" outlineLevel="0" max="12565" min="12565" style="0" width="11.36"/>
    <col collapsed="false" customWidth="true" hidden="false" outlineLevel="0" max="12802" min="12801" style="0" width="1.63"/>
    <col collapsed="false" customWidth="true" hidden="false" outlineLevel="0" max="12805" min="12804" style="0" width="9.36"/>
    <col collapsed="false" customWidth="true" hidden="false" outlineLevel="0" max="12806" min="12806" style="0" width="9.82"/>
    <col collapsed="false" customWidth="true" hidden="false" outlineLevel="0" max="12807" min="12807" style="0" width="11.45"/>
    <col collapsed="false" customWidth="true" hidden="false" outlineLevel="0" max="12808" min="12808" style="0" width="10.63"/>
    <col collapsed="false" customWidth="true" hidden="false" outlineLevel="0" max="12813" min="12809" style="0" width="15.63"/>
    <col collapsed="false" customWidth="true" hidden="false" outlineLevel="0" max="12814" min="12814" style="0" width="3.63"/>
    <col collapsed="false" customWidth="true" hidden="false" outlineLevel="0" max="12819" min="12815" style="0" width="15.63"/>
    <col collapsed="false" customWidth="true" hidden="false" outlineLevel="0" max="12821" min="12821" style="0" width="11.36"/>
    <col collapsed="false" customWidth="true" hidden="false" outlineLevel="0" max="13058" min="13057" style="0" width="1.63"/>
    <col collapsed="false" customWidth="true" hidden="false" outlineLevel="0" max="13061" min="13060" style="0" width="9.36"/>
    <col collapsed="false" customWidth="true" hidden="false" outlineLevel="0" max="13062" min="13062" style="0" width="9.82"/>
    <col collapsed="false" customWidth="true" hidden="false" outlineLevel="0" max="13063" min="13063" style="0" width="11.45"/>
    <col collapsed="false" customWidth="true" hidden="false" outlineLevel="0" max="13064" min="13064" style="0" width="10.63"/>
    <col collapsed="false" customWidth="true" hidden="false" outlineLevel="0" max="13069" min="13065" style="0" width="15.63"/>
    <col collapsed="false" customWidth="true" hidden="false" outlineLevel="0" max="13070" min="13070" style="0" width="3.63"/>
    <col collapsed="false" customWidth="true" hidden="false" outlineLevel="0" max="13075" min="13071" style="0" width="15.63"/>
    <col collapsed="false" customWidth="true" hidden="false" outlineLevel="0" max="13077" min="13077" style="0" width="11.36"/>
    <col collapsed="false" customWidth="true" hidden="false" outlineLevel="0" max="13314" min="13313" style="0" width="1.63"/>
    <col collapsed="false" customWidth="true" hidden="false" outlineLevel="0" max="13317" min="13316" style="0" width="9.36"/>
    <col collapsed="false" customWidth="true" hidden="false" outlineLevel="0" max="13318" min="13318" style="0" width="9.82"/>
    <col collapsed="false" customWidth="true" hidden="false" outlineLevel="0" max="13319" min="13319" style="0" width="11.45"/>
    <col collapsed="false" customWidth="true" hidden="false" outlineLevel="0" max="13320" min="13320" style="0" width="10.63"/>
    <col collapsed="false" customWidth="true" hidden="false" outlineLevel="0" max="13325" min="13321" style="0" width="15.63"/>
    <col collapsed="false" customWidth="true" hidden="false" outlineLevel="0" max="13326" min="13326" style="0" width="3.63"/>
    <col collapsed="false" customWidth="true" hidden="false" outlineLevel="0" max="13331" min="13327" style="0" width="15.63"/>
    <col collapsed="false" customWidth="true" hidden="false" outlineLevel="0" max="13333" min="13333" style="0" width="11.36"/>
    <col collapsed="false" customWidth="true" hidden="false" outlineLevel="0" max="13570" min="13569" style="0" width="1.63"/>
    <col collapsed="false" customWidth="true" hidden="false" outlineLevel="0" max="13573" min="13572" style="0" width="9.36"/>
    <col collapsed="false" customWidth="true" hidden="false" outlineLevel="0" max="13574" min="13574" style="0" width="9.82"/>
    <col collapsed="false" customWidth="true" hidden="false" outlineLevel="0" max="13575" min="13575" style="0" width="11.45"/>
    <col collapsed="false" customWidth="true" hidden="false" outlineLevel="0" max="13576" min="13576" style="0" width="10.63"/>
    <col collapsed="false" customWidth="true" hidden="false" outlineLevel="0" max="13581" min="13577" style="0" width="15.63"/>
    <col collapsed="false" customWidth="true" hidden="false" outlineLevel="0" max="13582" min="13582" style="0" width="3.63"/>
    <col collapsed="false" customWidth="true" hidden="false" outlineLevel="0" max="13587" min="13583" style="0" width="15.63"/>
    <col collapsed="false" customWidth="true" hidden="false" outlineLevel="0" max="13589" min="13589" style="0" width="11.36"/>
    <col collapsed="false" customWidth="true" hidden="false" outlineLevel="0" max="13826" min="13825" style="0" width="1.63"/>
    <col collapsed="false" customWidth="true" hidden="false" outlineLevel="0" max="13829" min="13828" style="0" width="9.36"/>
    <col collapsed="false" customWidth="true" hidden="false" outlineLevel="0" max="13830" min="13830" style="0" width="9.82"/>
    <col collapsed="false" customWidth="true" hidden="false" outlineLevel="0" max="13831" min="13831" style="0" width="11.45"/>
    <col collapsed="false" customWidth="true" hidden="false" outlineLevel="0" max="13832" min="13832" style="0" width="10.63"/>
    <col collapsed="false" customWidth="true" hidden="false" outlineLevel="0" max="13837" min="13833" style="0" width="15.63"/>
    <col collapsed="false" customWidth="true" hidden="false" outlineLevel="0" max="13838" min="13838" style="0" width="3.63"/>
    <col collapsed="false" customWidth="true" hidden="false" outlineLevel="0" max="13843" min="13839" style="0" width="15.63"/>
    <col collapsed="false" customWidth="true" hidden="false" outlineLevel="0" max="13845" min="13845" style="0" width="11.36"/>
    <col collapsed="false" customWidth="true" hidden="false" outlineLevel="0" max="14082" min="14081" style="0" width="1.63"/>
    <col collapsed="false" customWidth="true" hidden="false" outlineLevel="0" max="14085" min="14084" style="0" width="9.36"/>
    <col collapsed="false" customWidth="true" hidden="false" outlineLevel="0" max="14086" min="14086" style="0" width="9.82"/>
    <col collapsed="false" customWidth="true" hidden="false" outlineLevel="0" max="14087" min="14087" style="0" width="11.45"/>
    <col collapsed="false" customWidth="true" hidden="false" outlineLevel="0" max="14088" min="14088" style="0" width="10.63"/>
    <col collapsed="false" customWidth="true" hidden="false" outlineLevel="0" max="14093" min="14089" style="0" width="15.63"/>
    <col collapsed="false" customWidth="true" hidden="false" outlineLevel="0" max="14094" min="14094" style="0" width="3.63"/>
    <col collapsed="false" customWidth="true" hidden="false" outlineLevel="0" max="14099" min="14095" style="0" width="15.63"/>
    <col collapsed="false" customWidth="true" hidden="false" outlineLevel="0" max="14101" min="14101" style="0" width="11.36"/>
    <col collapsed="false" customWidth="true" hidden="false" outlineLevel="0" max="14338" min="14337" style="0" width="1.63"/>
    <col collapsed="false" customWidth="true" hidden="false" outlineLevel="0" max="14341" min="14340" style="0" width="9.36"/>
    <col collapsed="false" customWidth="true" hidden="false" outlineLevel="0" max="14342" min="14342" style="0" width="9.82"/>
    <col collapsed="false" customWidth="true" hidden="false" outlineLevel="0" max="14343" min="14343" style="0" width="11.45"/>
    <col collapsed="false" customWidth="true" hidden="false" outlineLevel="0" max="14344" min="14344" style="0" width="10.63"/>
    <col collapsed="false" customWidth="true" hidden="false" outlineLevel="0" max="14349" min="14345" style="0" width="15.63"/>
    <col collapsed="false" customWidth="true" hidden="false" outlineLevel="0" max="14350" min="14350" style="0" width="3.63"/>
    <col collapsed="false" customWidth="true" hidden="false" outlineLevel="0" max="14355" min="14351" style="0" width="15.63"/>
    <col collapsed="false" customWidth="true" hidden="false" outlineLevel="0" max="14357" min="14357" style="0" width="11.36"/>
    <col collapsed="false" customWidth="true" hidden="false" outlineLevel="0" max="14594" min="14593" style="0" width="1.63"/>
    <col collapsed="false" customWidth="true" hidden="false" outlineLevel="0" max="14597" min="14596" style="0" width="9.36"/>
    <col collapsed="false" customWidth="true" hidden="false" outlineLevel="0" max="14598" min="14598" style="0" width="9.82"/>
    <col collapsed="false" customWidth="true" hidden="false" outlineLevel="0" max="14599" min="14599" style="0" width="11.45"/>
    <col collapsed="false" customWidth="true" hidden="false" outlineLevel="0" max="14600" min="14600" style="0" width="10.63"/>
    <col collapsed="false" customWidth="true" hidden="false" outlineLevel="0" max="14605" min="14601" style="0" width="15.63"/>
    <col collapsed="false" customWidth="true" hidden="false" outlineLevel="0" max="14606" min="14606" style="0" width="3.63"/>
    <col collapsed="false" customWidth="true" hidden="false" outlineLevel="0" max="14611" min="14607" style="0" width="15.63"/>
    <col collapsed="false" customWidth="true" hidden="false" outlineLevel="0" max="14613" min="14613" style="0" width="11.36"/>
    <col collapsed="false" customWidth="true" hidden="false" outlineLevel="0" max="14850" min="14849" style="0" width="1.63"/>
    <col collapsed="false" customWidth="true" hidden="false" outlineLevel="0" max="14853" min="14852" style="0" width="9.36"/>
    <col collapsed="false" customWidth="true" hidden="false" outlineLevel="0" max="14854" min="14854" style="0" width="9.82"/>
    <col collapsed="false" customWidth="true" hidden="false" outlineLevel="0" max="14855" min="14855" style="0" width="11.45"/>
    <col collapsed="false" customWidth="true" hidden="false" outlineLevel="0" max="14856" min="14856" style="0" width="10.63"/>
    <col collapsed="false" customWidth="true" hidden="false" outlineLevel="0" max="14861" min="14857" style="0" width="15.63"/>
    <col collapsed="false" customWidth="true" hidden="false" outlineLevel="0" max="14862" min="14862" style="0" width="3.63"/>
    <col collapsed="false" customWidth="true" hidden="false" outlineLevel="0" max="14867" min="14863" style="0" width="15.63"/>
    <col collapsed="false" customWidth="true" hidden="false" outlineLevel="0" max="14869" min="14869" style="0" width="11.36"/>
    <col collapsed="false" customWidth="true" hidden="false" outlineLevel="0" max="15106" min="15105" style="0" width="1.63"/>
    <col collapsed="false" customWidth="true" hidden="false" outlineLevel="0" max="15109" min="15108" style="0" width="9.36"/>
    <col collapsed="false" customWidth="true" hidden="false" outlineLevel="0" max="15110" min="15110" style="0" width="9.82"/>
    <col collapsed="false" customWidth="true" hidden="false" outlineLevel="0" max="15111" min="15111" style="0" width="11.45"/>
    <col collapsed="false" customWidth="true" hidden="false" outlineLevel="0" max="15112" min="15112" style="0" width="10.63"/>
    <col collapsed="false" customWidth="true" hidden="false" outlineLevel="0" max="15117" min="15113" style="0" width="15.63"/>
    <col collapsed="false" customWidth="true" hidden="false" outlineLevel="0" max="15118" min="15118" style="0" width="3.63"/>
    <col collapsed="false" customWidth="true" hidden="false" outlineLevel="0" max="15123" min="15119" style="0" width="15.63"/>
    <col collapsed="false" customWidth="true" hidden="false" outlineLevel="0" max="15125" min="15125" style="0" width="11.36"/>
    <col collapsed="false" customWidth="true" hidden="false" outlineLevel="0" max="15362" min="15361" style="0" width="1.63"/>
    <col collapsed="false" customWidth="true" hidden="false" outlineLevel="0" max="15365" min="15364" style="0" width="9.36"/>
    <col collapsed="false" customWidth="true" hidden="false" outlineLevel="0" max="15366" min="15366" style="0" width="9.82"/>
    <col collapsed="false" customWidth="true" hidden="false" outlineLevel="0" max="15367" min="15367" style="0" width="11.45"/>
    <col collapsed="false" customWidth="true" hidden="false" outlineLevel="0" max="15368" min="15368" style="0" width="10.63"/>
    <col collapsed="false" customWidth="true" hidden="false" outlineLevel="0" max="15373" min="15369" style="0" width="15.63"/>
    <col collapsed="false" customWidth="true" hidden="false" outlineLevel="0" max="15374" min="15374" style="0" width="3.63"/>
    <col collapsed="false" customWidth="true" hidden="false" outlineLevel="0" max="15379" min="15375" style="0" width="15.63"/>
    <col collapsed="false" customWidth="true" hidden="false" outlineLevel="0" max="15381" min="15381" style="0" width="11.36"/>
    <col collapsed="false" customWidth="true" hidden="false" outlineLevel="0" max="15618" min="15617" style="0" width="1.63"/>
    <col collapsed="false" customWidth="true" hidden="false" outlineLevel="0" max="15621" min="15620" style="0" width="9.36"/>
    <col collapsed="false" customWidth="true" hidden="false" outlineLevel="0" max="15622" min="15622" style="0" width="9.82"/>
    <col collapsed="false" customWidth="true" hidden="false" outlineLevel="0" max="15623" min="15623" style="0" width="11.45"/>
    <col collapsed="false" customWidth="true" hidden="false" outlineLevel="0" max="15624" min="15624" style="0" width="10.63"/>
    <col collapsed="false" customWidth="true" hidden="false" outlineLevel="0" max="15629" min="15625" style="0" width="15.63"/>
    <col collapsed="false" customWidth="true" hidden="false" outlineLevel="0" max="15630" min="15630" style="0" width="3.63"/>
    <col collapsed="false" customWidth="true" hidden="false" outlineLevel="0" max="15635" min="15631" style="0" width="15.63"/>
    <col collapsed="false" customWidth="true" hidden="false" outlineLevel="0" max="15637" min="15637" style="0" width="11.36"/>
    <col collapsed="false" customWidth="true" hidden="false" outlineLevel="0" max="15874" min="15873" style="0" width="1.63"/>
    <col collapsed="false" customWidth="true" hidden="false" outlineLevel="0" max="15877" min="15876" style="0" width="9.36"/>
    <col collapsed="false" customWidth="true" hidden="false" outlineLevel="0" max="15878" min="15878" style="0" width="9.82"/>
    <col collapsed="false" customWidth="true" hidden="false" outlineLevel="0" max="15879" min="15879" style="0" width="11.45"/>
    <col collapsed="false" customWidth="true" hidden="false" outlineLevel="0" max="15880" min="15880" style="0" width="10.63"/>
    <col collapsed="false" customWidth="true" hidden="false" outlineLevel="0" max="15885" min="15881" style="0" width="15.63"/>
    <col collapsed="false" customWidth="true" hidden="false" outlineLevel="0" max="15886" min="15886" style="0" width="3.63"/>
    <col collapsed="false" customWidth="true" hidden="false" outlineLevel="0" max="15891" min="15887" style="0" width="15.63"/>
    <col collapsed="false" customWidth="true" hidden="false" outlineLevel="0" max="15893" min="15893" style="0" width="11.36"/>
    <col collapsed="false" customWidth="true" hidden="false" outlineLevel="0" max="16130" min="16129" style="0" width="1.63"/>
    <col collapsed="false" customWidth="true" hidden="false" outlineLevel="0" max="16133" min="16132" style="0" width="9.36"/>
    <col collapsed="false" customWidth="true" hidden="false" outlineLevel="0" max="16134" min="16134" style="0" width="9.82"/>
    <col collapsed="false" customWidth="true" hidden="false" outlineLevel="0" max="16135" min="16135" style="0" width="11.45"/>
    <col collapsed="false" customWidth="true" hidden="false" outlineLevel="0" max="16136" min="16136" style="0" width="10.63"/>
    <col collapsed="false" customWidth="true" hidden="false" outlineLevel="0" max="16141" min="16137" style="0" width="15.63"/>
    <col collapsed="false" customWidth="true" hidden="false" outlineLevel="0" max="16142" min="16142" style="0" width="3.63"/>
    <col collapsed="false" customWidth="true" hidden="false" outlineLevel="0" max="16147" min="16143" style="0" width="15.63"/>
    <col collapsed="false" customWidth="true" hidden="false" outlineLevel="0" max="16149" min="16149" style="0" width="11.36"/>
  </cols>
  <sheetData>
    <row r="1" customFormat="false" ht="12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2.75" hidden="false" customHeight="true" outlineLevel="0" collapsed="false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2.75" hidden="false" customHeight="true" outlineLevel="0" collapsed="false">
      <c r="A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12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customFormat="false" ht="12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customFormat="false" ht="12.75" hidden="false" customHeight="true" outlineLevel="0" collapsed="false">
      <c r="A6" s="1"/>
      <c r="B6" s="1"/>
      <c r="C6" s="5" t="s">
        <v>1</v>
      </c>
      <c r="D6" s="6"/>
      <c r="E6" s="6"/>
      <c r="F6" s="6"/>
      <c r="G6" s="6"/>
      <c r="H6" s="6"/>
      <c r="I6" s="6"/>
      <c r="J6" s="6"/>
      <c r="K6" s="6"/>
      <c r="L6" s="6"/>
      <c r="M6" s="7"/>
      <c r="N6" s="1"/>
      <c r="O6" s="8" t="s">
        <v>2</v>
      </c>
      <c r="P6" s="8"/>
      <c r="Q6" s="8"/>
    </row>
    <row r="7" customFormat="false" ht="12" hidden="false" customHeight="false" outlineLevel="0" collapsed="false">
      <c r="A7" s="1"/>
      <c r="B7" s="1"/>
      <c r="C7" s="1" t="s">
        <v>3</v>
      </c>
      <c r="D7" s="1"/>
      <c r="E7" s="1"/>
      <c r="F7" s="1"/>
      <c r="G7" s="1"/>
      <c r="H7" s="1"/>
      <c r="I7" s="9" t="n">
        <v>1</v>
      </c>
      <c r="J7" s="9" t="n">
        <v>2</v>
      </c>
      <c r="K7" s="9" t="n">
        <v>3</v>
      </c>
      <c r="L7" s="9" t="n">
        <v>4</v>
      </c>
      <c r="M7" s="9" t="n">
        <v>5</v>
      </c>
      <c r="N7" s="1"/>
    </row>
    <row r="8" customFormat="false" ht="12.75" hidden="false" customHeight="true" outlineLevel="0" collapsed="false">
      <c r="A8" s="1"/>
      <c r="B8" s="1"/>
      <c r="C8" s="10"/>
      <c r="D8" s="11"/>
      <c r="E8" s="11"/>
      <c r="F8" s="11"/>
      <c r="G8" s="12"/>
      <c r="H8" s="12"/>
      <c r="I8" s="13" t="n">
        <v>2022</v>
      </c>
      <c r="J8" s="13" t="n">
        <v>2023</v>
      </c>
      <c r="K8" s="13" t="n">
        <v>2024</v>
      </c>
      <c r="L8" s="13" t="n">
        <v>2025</v>
      </c>
      <c r="M8" s="13" t="n">
        <v>2026</v>
      </c>
      <c r="N8" s="14"/>
      <c r="O8" s="14" t="s">
        <v>4</v>
      </c>
      <c r="P8" s="14"/>
      <c r="Q8" s="15" t="n">
        <v>0.4</v>
      </c>
    </row>
    <row r="9" customFormat="false" ht="12" hidden="false" customHeight="false" outlineLevel="0" collapsed="false">
      <c r="A9" s="1"/>
      <c r="B9" s="1"/>
      <c r="C9" s="14" t="s">
        <v>5</v>
      </c>
      <c r="D9" s="14"/>
      <c r="E9" s="14"/>
      <c r="F9" s="14"/>
      <c r="G9" s="14"/>
      <c r="H9" s="14"/>
      <c r="I9" s="16" t="s">
        <v>6</v>
      </c>
      <c r="J9" s="17" t="s">
        <v>7</v>
      </c>
      <c r="K9" s="17" t="s">
        <v>8</v>
      </c>
      <c r="L9" s="17" t="s">
        <v>9</v>
      </c>
      <c r="M9" s="17" t="s">
        <v>10</v>
      </c>
      <c r="N9" s="14"/>
      <c r="O9" s="14" t="s">
        <v>11</v>
      </c>
      <c r="P9" s="14"/>
      <c r="Q9" s="15" t="n">
        <v>0.085</v>
      </c>
    </row>
    <row r="10" customFormat="false" ht="12.75" hidden="false" customHeight="true" outlineLevel="0" collapsed="false">
      <c r="A10" s="1"/>
      <c r="B10" s="1"/>
      <c r="C10" s="18" t="s">
        <v>12</v>
      </c>
      <c r="D10" s="10"/>
      <c r="E10" s="10"/>
      <c r="F10" s="10"/>
      <c r="G10" s="14"/>
      <c r="H10" s="14"/>
      <c r="I10" s="19"/>
      <c r="J10" s="20" t="n">
        <v>0.05</v>
      </c>
      <c r="K10" s="20" t="n">
        <v>0.05</v>
      </c>
      <c r="L10" s="20" t="n">
        <v>0.05</v>
      </c>
      <c r="M10" s="20" t="n">
        <v>0.05</v>
      </c>
      <c r="N10" s="14"/>
      <c r="O10" s="14" t="s">
        <v>13</v>
      </c>
      <c r="P10" s="14"/>
      <c r="Q10" s="21" t="n">
        <v>12</v>
      </c>
    </row>
    <row r="11" customFormat="false" ht="12" hidden="false" customHeight="false" outlineLevel="0" collapsed="false">
      <c r="A11" s="1"/>
      <c r="B11" s="1"/>
      <c r="C11" s="14"/>
      <c r="D11" s="14"/>
      <c r="E11" s="14"/>
      <c r="F11" s="14"/>
      <c r="G11" s="14"/>
      <c r="H11" s="14"/>
      <c r="I11" s="22"/>
      <c r="J11" s="22"/>
      <c r="K11" s="22"/>
      <c r="L11" s="22"/>
      <c r="M11" s="22"/>
      <c r="N11" s="14"/>
      <c r="O11" s="14"/>
      <c r="P11" s="14"/>
      <c r="Q11" s="14"/>
    </row>
    <row r="12" customFormat="false" ht="13.5" hidden="false" customHeight="true" outlineLevel="0" collapsed="false">
      <c r="A12" s="1"/>
      <c r="B12" s="1"/>
      <c r="C12" s="23" t="s">
        <v>14</v>
      </c>
      <c r="D12" s="14"/>
      <c r="E12" s="14"/>
      <c r="F12" s="14"/>
      <c r="G12" s="14"/>
      <c r="H12" s="14"/>
      <c r="I12" s="16" t="s">
        <v>15</v>
      </c>
      <c r="J12" s="17" t="s">
        <v>16</v>
      </c>
      <c r="K12" s="17" t="s">
        <v>17</v>
      </c>
      <c r="L12" s="17" t="s">
        <v>18</v>
      </c>
      <c r="M12" s="17" t="s">
        <v>19</v>
      </c>
      <c r="N12" s="14"/>
      <c r="P12" s="24"/>
      <c r="Q12" s="25" t="n">
        <v>2022</v>
      </c>
    </row>
    <row r="13" customFormat="false" ht="13.5" hidden="false" customHeight="true" outlineLevel="0" collapsed="false">
      <c r="A13" s="1"/>
      <c r="B13" s="1"/>
      <c r="C13" s="18" t="s">
        <v>20</v>
      </c>
      <c r="D13" s="10"/>
      <c r="E13" s="10"/>
      <c r="F13" s="10"/>
      <c r="G13" s="14"/>
      <c r="H13" s="14"/>
      <c r="I13" s="26" t="n">
        <v>0.4</v>
      </c>
      <c r="J13" s="27" t="n">
        <f aca="false">AVERAGE(I13,K13)</f>
        <v>0.404986038208008</v>
      </c>
      <c r="K13" s="27" t="n">
        <f aca="false">AVERAGE(J13,L13)</f>
        <v>0.409972076416016</v>
      </c>
      <c r="L13" s="27" t="n">
        <f aca="false">AVERAGE(K13,M13)</f>
        <v>0.414972076416016</v>
      </c>
      <c r="M13" s="27" t="n">
        <v>0.42</v>
      </c>
      <c r="N13" s="14"/>
      <c r="O13" s="28" t="s">
        <v>21</v>
      </c>
      <c r="P13" s="24"/>
      <c r="Q13" s="29" t="n">
        <v>13600</v>
      </c>
    </row>
    <row r="14" customFormat="false" ht="12.75" hidden="false" customHeight="true" outlineLevel="0" collapsed="false">
      <c r="A14" s="1"/>
      <c r="B14" s="1"/>
      <c r="C14" s="18"/>
      <c r="D14" s="10"/>
      <c r="E14" s="10"/>
      <c r="F14" s="10"/>
      <c r="G14" s="14"/>
      <c r="H14" s="14"/>
      <c r="I14" s="22"/>
      <c r="J14" s="22"/>
      <c r="K14" s="22"/>
      <c r="L14" s="22"/>
      <c r="M14" s="22"/>
      <c r="N14" s="14"/>
      <c r="O14" s="28" t="s">
        <v>22</v>
      </c>
      <c r="P14" s="14"/>
      <c r="Q14" s="30" t="n">
        <v>0.05</v>
      </c>
    </row>
    <row r="15" customFormat="false" ht="12.75" hidden="false" customHeight="true" outlineLevel="0" collapsed="false">
      <c r="A15" s="1"/>
      <c r="B15" s="1"/>
      <c r="C15" s="31" t="s">
        <v>23</v>
      </c>
      <c r="D15" s="10"/>
      <c r="E15" s="10"/>
      <c r="F15" s="10"/>
      <c r="G15" s="14"/>
      <c r="H15" s="14"/>
      <c r="I15" s="22"/>
      <c r="J15" s="22"/>
      <c r="K15" s="22"/>
      <c r="L15" s="22"/>
      <c r="M15" s="22"/>
      <c r="N15" s="14"/>
      <c r="O15" s="28" t="s">
        <v>24</v>
      </c>
      <c r="Q15" s="29" t="n">
        <v>5400</v>
      </c>
    </row>
    <row r="16" customFormat="false" ht="12" hidden="false" customHeight="false" outlineLevel="0" collapsed="false">
      <c r="A16" s="1"/>
      <c r="B16" s="1"/>
      <c r="C16" s="14" t="str">
        <f aca="false">+C12</f>
        <v>EBITDA</v>
      </c>
      <c r="D16" s="14"/>
      <c r="E16" s="14"/>
      <c r="F16" s="14"/>
      <c r="G16" s="14"/>
      <c r="H16" s="14"/>
      <c r="I16" s="16" t="str">
        <f aca="false">I12</f>
        <v>$5400.0</v>
      </c>
      <c r="J16" s="16" t="str">
        <f aca="false">J12</f>
        <v>$5,751.9</v>
      </c>
      <c r="K16" s="16" t="str">
        <f aca="false">K12</f>
        <v>$6,125.5</v>
      </c>
      <c r="L16" s="16" t="str">
        <f aca="false">L12</f>
        <v>$6,522.1</v>
      </c>
      <c r="M16" s="16" t="str">
        <f aca="false">M12</f>
        <v>$6,943.0</v>
      </c>
      <c r="N16" s="14"/>
      <c r="O16" s="28" t="s">
        <v>25</v>
      </c>
      <c r="Q16" s="32" t="n">
        <v>0.397058823529412</v>
      </c>
    </row>
    <row r="17" customFormat="false" ht="13.5" hidden="false" customHeight="true" outlineLevel="0" collapsed="false">
      <c r="A17" s="1"/>
      <c r="B17" s="1"/>
      <c r="C17" s="33" t="s">
        <v>26</v>
      </c>
      <c r="D17" s="33"/>
      <c r="E17" s="33"/>
      <c r="F17" s="33"/>
      <c r="G17" s="33"/>
      <c r="H17" s="33"/>
      <c r="I17" s="34" t="n">
        <v>-95.2</v>
      </c>
      <c r="J17" s="34" t="n">
        <v>-100</v>
      </c>
      <c r="K17" s="34" t="n">
        <v>-105</v>
      </c>
      <c r="L17" s="34" t="n">
        <v>-110.2</v>
      </c>
      <c r="M17" s="34" t="n">
        <v>-115.7</v>
      </c>
      <c r="N17" s="14"/>
      <c r="O17" s="28" t="s">
        <v>27</v>
      </c>
      <c r="P17" s="24"/>
      <c r="Q17" s="15" t="n">
        <v>0.007</v>
      </c>
    </row>
    <row r="18" customFormat="false" ht="12" hidden="false" customHeight="false" outlineLevel="0" collapsed="false">
      <c r="A18" s="1"/>
      <c r="B18" s="1"/>
      <c r="C18" s="35" t="s">
        <v>28</v>
      </c>
      <c r="D18" s="14"/>
      <c r="E18" s="14"/>
      <c r="F18" s="14"/>
      <c r="G18" s="14"/>
      <c r="H18" s="14"/>
      <c r="I18" s="17" t="s">
        <v>29</v>
      </c>
      <c r="J18" s="17" t="s">
        <v>30</v>
      </c>
      <c r="K18" s="17" t="s">
        <v>31</v>
      </c>
      <c r="L18" s="17" t="s">
        <v>32</v>
      </c>
      <c r="M18" s="17" t="s">
        <v>33</v>
      </c>
      <c r="N18" s="14"/>
      <c r="O18" s="28" t="s">
        <v>34</v>
      </c>
      <c r="Q18" s="15" t="n">
        <v>0.05</v>
      </c>
    </row>
    <row r="19" customFormat="false" ht="13.5" hidden="false" customHeight="true" outlineLevel="0" collapsed="false">
      <c r="A19" s="1"/>
      <c r="B19" s="1"/>
      <c r="C19" s="35" t="s">
        <v>35</v>
      </c>
      <c r="D19" s="14"/>
      <c r="E19" s="14"/>
      <c r="F19" s="36" t="n">
        <v>0.4</v>
      </c>
      <c r="G19" s="14"/>
      <c r="H19" s="14"/>
      <c r="I19" s="17" t="s">
        <v>36</v>
      </c>
      <c r="J19" s="17" t="s">
        <v>37</v>
      </c>
      <c r="K19" s="17" t="s">
        <v>38</v>
      </c>
      <c r="L19" s="17" t="s">
        <v>39</v>
      </c>
      <c r="M19" s="17" t="s">
        <v>40</v>
      </c>
      <c r="N19" s="14"/>
      <c r="O19" s="28" t="s">
        <v>41</v>
      </c>
      <c r="P19" s="24"/>
      <c r="Q19" s="15" t="n">
        <v>0.005</v>
      </c>
    </row>
    <row r="20" customFormat="false" ht="13.5" hidden="false" customHeight="true" outlineLevel="0" collapsed="false">
      <c r="A20" s="1"/>
      <c r="B20" s="1"/>
      <c r="C20" s="14"/>
      <c r="D20" s="14"/>
      <c r="E20" s="14"/>
      <c r="F20" s="14"/>
      <c r="G20" s="14"/>
      <c r="H20" s="14"/>
      <c r="I20" s="22"/>
      <c r="J20" s="22"/>
      <c r="K20" s="22"/>
      <c r="L20" s="22"/>
      <c r="M20" s="22"/>
      <c r="N20" s="14"/>
      <c r="O20" s="28" t="s">
        <v>42</v>
      </c>
      <c r="P20" s="24"/>
      <c r="Q20" s="29" t="n">
        <v>9200</v>
      </c>
    </row>
    <row r="21" customFormat="false" ht="12" hidden="false" customHeight="false" outlineLevel="0" collapsed="false">
      <c r="A21" s="1"/>
      <c r="B21" s="1"/>
      <c r="C21" s="14" t="s">
        <v>43</v>
      </c>
      <c r="D21" s="14"/>
      <c r="E21" s="14"/>
      <c r="F21" s="14"/>
      <c r="G21" s="14"/>
      <c r="H21" s="14"/>
      <c r="I21" s="37" t="s">
        <v>44</v>
      </c>
      <c r="J21" s="37" t="s">
        <v>45</v>
      </c>
      <c r="K21" s="37" t="s">
        <v>46</v>
      </c>
      <c r="L21" s="37" t="s">
        <v>47</v>
      </c>
      <c r="M21" s="37" t="s">
        <v>48</v>
      </c>
      <c r="N21" s="14"/>
      <c r="O21" s="28" t="s">
        <v>49</v>
      </c>
      <c r="Q21" s="29" t="n">
        <v>50</v>
      </c>
    </row>
    <row r="22" customFormat="false" ht="13.5" hidden="false" customHeight="true" outlineLevel="0" collapsed="false">
      <c r="A22" s="1"/>
      <c r="B22" s="1"/>
      <c r="C22" s="14"/>
      <c r="D22" s="14"/>
      <c r="E22" s="14"/>
      <c r="F22" s="14"/>
      <c r="G22" s="14"/>
      <c r="H22" s="14"/>
      <c r="I22" s="22"/>
      <c r="J22" s="22"/>
      <c r="K22" s="22"/>
      <c r="L22" s="22"/>
      <c r="M22" s="22"/>
      <c r="N22" s="14"/>
      <c r="O22" s="28" t="s">
        <v>50</v>
      </c>
      <c r="P22" s="38"/>
      <c r="Q22" s="39" t="n">
        <v>1000</v>
      </c>
    </row>
    <row r="23" customFormat="false" ht="12" hidden="false" customHeight="false" outlineLevel="0" collapsed="false">
      <c r="A23" s="1"/>
      <c r="B23" s="1"/>
      <c r="C23" s="14" t="s">
        <v>51</v>
      </c>
      <c r="D23" s="14"/>
      <c r="E23" s="14"/>
      <c r="F23" s="14"/>
      <c r="G23" s="14"/>
      <c r="H23" s="14"/>
      <c r="I23" s="16" t="s">
        <v>52</v>
      </c>
      <c r="J23" s="17" t="s">
        <v>53</v>
      </c>
      <c r="K23" s="17" t="s">
        <v>54</v>
      </c>
      <c r="L23" s="17" t="s">
        <v>55</v>
      </c>
      <c r="M23" s="17" t="s">
        <v>56</v>
      </c>
      <c r="N23" s="14"/>
    </row>
    <row r="24" customFormat="false" ht="12" hidden="false" customHeight="false" outlineLevel="0" collapsed="false">
      <c r="A24" s="1"/>
      <c r="B24" s="1"/>
      <c r="C24" s="14" t="s">
        <v>57</v>
      </c>
      <c r="D24" s="14"/>
      <c r="E24" s="14"/>
      <c r="F24" s="14"/>
      <c r="G24" s="14"/>
      <c r="H24" s="14"/>
      <c r="I24" s="16" t="s">
        <v>58</v>
      </c>
      <c r="J24" s="16" t="s">
        <v>59</v>
      </c>
      <c r="K24" s="17" t="s">
        <v>60</v>
      </c>
      <c r="L24" s="17" t="s">
        <v>61</v>
      </c>
      <c r="M24" s="17" t="s">
        <v>62</v>
      </c>
      <c r="N24" s="14"/>
    </row>
    <row r="25" customFormat="false" ht="12" hidden="false" customHeight="false" outlineLevel="0" collapsed="false">
      <c r="A25" s="1"/>
      <c r="B25" s="1"/>
      <c r="C25" s="14"/>
      <c r="D25" s="14"/>
      <c r="E25" s="14"/>
      <c r="F25" s="14"/>
      <c r="G25" s="14"/>
      <c r="H25" s="14"/>
      <c r="I25" s="22"/>
      <c r="J25" s="22"/>
      <c r="K25" s="22"/>
      <c r="L25" s="22"/>
      <c r="M25" s="22"/>
      <c r="N25" s="14"/>
    </row>
    <row r="26" customFormat="false" ht="12" hidden="false" customHeight="false" outlineLevel="0" collapsed="false">
      <c r="A26" s="1"/>
      <c r="B26" s="1"/>
      <c r="C26" s="14" t="str">
        <f aca="false">C12</f>
        <v>EBITDA</v>
      </c>
      <c r="D26" s="14"/>
      <c r="E26" s="14"/>
      <c r="F26" s="14"/>
      <c r="G26" s="14"/>
      <c r="H26" s="14"/>
      <c r="I26" s="16" t="str">
        <f aca="false">I16</f>
        <v>$5400.0</v>
      </c>
      <c r="J26" s="16" t="str">
        <f aca="false">J16</f>
        <v>$5,751.9</v>
      </c>
      <c r="K26" s="16" t="str">
        <f aca="false">K16</f>
        <v>$6,125.5</v>
      </c>
      <c r="L26" s="16" t="str">
        <f aca="false">L16</f>
        <v>$6,522.1</v>
      </c>
      <c r="M26" s="16" t="str">
        <f aca="false">M16</f>
        <v>$6,943.0</v>
      </c>
      <c r="N26" s="14"/>
    </row>
    <row r="27" customFormat="false" ht="12" hidden="false" customHeight="false" outlineLevel="0" collapsed="false">
      <c r="A27" s="1"/>
      <c r="B27" s="1"/>
      <c r="C27" s="14" t="s">
        <v>63</v>
      </c>
      <c r="D27" s="14"/>
      <c r="E27" s="14"/>
      <c r="F27" s="14"/>
      <c r="G27" s="14"/>
      <c r="H27" s="14"/>
      <c r="I27" s="40" t="n">
        <v>-2121.9</v>
      </c>
      <c r="J27" s="40" t="n">
        <v>-2260.8</v>
      </c>
      <c r="K27" s="40" t="n">
        <v>-2408.2</v>
      </c>
      <c r="L27" s="40" t="n">
        <v>-2564.7</v>
      </c>
      <c r="M27" s="40" t="n">
        <v>-2730.9</v>
      </c>
      <c r="N27" s="14"/>
    </row>
    <row r="28" customFormat="false" ht="12" hidden="false" customHeight="false" outlineLevel="0" collapsed="false">
      <c r="A28" s="1"/>
      <c r="B28" s="1"/>
      <c r="C28" s="14" t="s">
        <v>64</v>
      </c>
      <c r="D28" s="14"/>
      <c r="E28" s="14"/>
      <c r="F28" s="14"/>
      <c r="G28" s="14"/>
      <c r="H28" s="14"/>
      <c r="I28" s="40" t="n">
        <v>0</v>
      </c>
      <c r="J28" s="40" t="n">
        <v>-34</v>
      </c>
      <c r="K28" s="40" t="n">
        <v>-35.7</v>
      </c>
      <c r="L28" s="40" t="n">
        <v>-37.5</v>
      </c>
      <c r="M28" s="40" t="n">
        <v>-39.4</v>
      </c>
      <c r="N28" s="14"/>
    </row>
    <row r="29" customFormat="false" ht="12" hidden="false" customHeight="false" outlineLevel="0" collapsed="false">
      <c r="A29" s="1"/>
      <c r="B29" s="1"/>
      <c r="C29" s="14" t="s">
        <v>65</v>
      </c>
      <c r="D29" s="14"/>
      <c r="E29" s="14"/>
      <c r="F29" s="41"/>
      <c r="G29" s="14"/>
      <c r="H29" s="14"/>
      <c r="I29" s="40" t="n">
        <v>-68</v>
      </c>
      <c r="J29" s="40" t="n">
        <v>-71.4</v>
      </c>
      <c r="K29" s="40" t="n">
        <v>-75</v>
      </c>
      <c r="L29" s="40" t="n">
        <v>-78.7</v>
      </c>
      <c r="M29" s="40" t="n">
        <v>-82.7</v>
      </c>
      <c r="N29" s="14"/>
    </row>
    <row r="30" customFormat="false" ht="12" hidden="false" customHeight="false" outlineLevel="0" collapsed="false">
      <c r="A30" s="1"/>
      <c r="B30" s="1"/>
      <c r="C30" s="35" t="s">
        <v>66</v>
      </c>
      <c r="D30" s="14"/>
      <c r="E30" s="14"/>
      <c r="F30" s="14"/>
      <c r="G30" s="14"/>
      <c r="H30" s="14"/>
      <c r="I30" s="42" t="s">
        <v>67</v>
      </c>
      <c r="J30" s="43" t="s">
        <v>68</v>
      </c>
      <c r="K30" s="43" t="s">
        <v>69</v>
      </c>
      <c r="L30" s="43" t="s">
        <v>70</v>
      </c>
      <c r="M30" s="43" t="s">
        <v>71</v>
      </c>
      <c r="N30" s="14"/>
    </row>
    <row r="31" customFormat="false" ht="12" hidden="false" customHeight="false" outlineLevel="0" collapsed="false">
      <c r="A31" s="1"/>
      <c r="B31" s="1"/>
      <c r="C31" s="35" t="s">
        <v>72</v>
      </c>
      <c r="D31" s="14"/>
      <c r="E31" s="14"/>
      <c r="F31" s="14"/>
      <c r="G31" s="14"/>
      <c r="H31" s="14"/>
      <c r="I31" s="44" t="s">
        <v>73</v>
      </c>
      <c r="J31" s="45" t="s">
        <v>74</v>
      </c>
      <c r="K31" s="45" t="s">
        <v>75</v>
      </c>
      <c r="L31" s="45" t="s">
        <v>76</v>
      </c>
      <c r="M31" s="45" t="s">
        <v>77</v>
      </c>
      <c r="N31" s="14"/>
    </row>
    <row r="32" customFormat="false" ht="12" hidden="false" customHeight="false" outlineLevel="0" collapsed="false">
      <c r="A32" s="1"/>
      <c r="B32" s="1"/>
      <c r="C32" s="46" t="s">
        <v>78</v>
      </c>
      <c r="D32" s="47"/>
      <c r="E32" s="47"/>
      <c r="F32" s="47"/>
      <c r="G32" s="47"/>
      <c r="H32" s="47"/>
      <c r="I32" s="48"/>
      <c r="J32" s="48"/>
      <c r="K32" s="48"/>
      <c r="L32" s="48"/>
      <c r="M32" s="49" t="s">
        <v>79</v>
      </c>
      <c r="N32" s="14"/>
    </row>
    <row r="33" customFormat="false" ht="12" hidden="false" customHeight="false" outlineLevel="0" collapsed="false">
      <c r="A33" s="1"/>
      <c r="B33" s="1"/>
      <c r="C33" s="14"/>
      <c r="I33" s="50"/>
      <c r="M33" s="51"/>
      <c r="N33" s="14"/>
    </row>
    <row r="34" customFormat="false" ht="12" hidden="false" customHeight="false" outlineLevel="0" collapsed="false">
      <c r="A34" s="1"/>
      <c r="B34" s="1"/>
      <c r="C34" s="14"/>
      <c r="I34" s="50"/>
      <c r="M34" s="51"/>
      <c r="N34" s="14"/>
    </row>
    <row r="35" customFormat="false" ht="12" hidden="false" customHeight="false" outlineLevel="0" collapsed="false">
      <c r="A35" s="1"/>
      <c r="B35" s="1"/>
      <c r="C35" s="14"/>
      <c r="I35" s="50"/>
      <c r="M35" s="51"/>
      <c r="N35" s="14"/>
    </row>
    <row r="36" customFormat="false" ht="12" hidden="false" customHeight="false" outlineLevel="0" collapsed="false">
      <c r="A36" s="1"/>
      <c r="B36" s="1"/>
      <c r="I36" s="50"/>
      <c r="N36" s="14"/>
    </row>
    <row r="37" customFormat="false" ht="12.75" hidden="false" customHeight="true" outlineLevel="0" collapsed="false">
      <c r="A37" s="1"/>
      <c r="B37" s="1"/>
      <c r="C37" s="14"/>
      <c r="D37" s="14"/>
      <c r="E37" s="14"/>
      <c r="F37" s="14"/>
      <c r="G37" s="52" t="s">
        <v>80</v>
      </c>
      <c r="H37" s="52"/>
      <c r="I37" s="52"/>
      <c r="J37" s="52"/>
      <c r="K37" s="52"/>
      <c r="L37" s="52"/>
      <c r="M37" s="52"/>
      <c r="N37" s="14"/>
    </row>
    <row r="38" customFormat="false" ht="12" hidden="false" customHeight="false" outlineLevel="0" collapsed="false">
      <c r="A38" s="1"/>
      <c r="B38" s="1"/>
      <c r="C38" s="14"/>
      <c r="D38" s="14"/>
      <c r="E38" s="14"/>
      <c r="F38" s="14"/>
      <c r="G38" s="14"/>
      <c r="H38" s="1"/>
      <c r="I38" s="14"/>
      <c r="J38" s="14"/>
      <c r="K38" s="14"/>
      <c r="L38" s="14"/>
      <c r="M38" s="14"/>
      <c r="N38" s="14"/>
    </row>
    <row r="39" customFormat="false" ht="12" hidden="false" customHeight="false" outlineLevel="0" collapsed="false">
      <c r="A39" s="1"/>
      <c r="B39" s="1"/>
      <c r="C39" s="14"/>
      <c r="D39" s="14"/>
      <c r="E39" s="14"/>
      <c r="F39" s="14"/>
      <c r="G39" s="35" t="s">
        <v>81</v>
      </c>
      <c r="H39" s="1"/>
      <c r="I39" s="1"/>
      <c r="J39" s="14"/>
      <c r="K39" s="14"/>
      <c r="L39" s="14"/>
      <c r="M39" s="53" t="str">
        <f aca="false">M26</f>
        <v>$6,943.0</v>
      </c>
      <c r="N39" s="14"/>
    </row>
    <row r="40" customFormat="false" ht="12" hidden="false" customHeight="false" outlineLevel="0" collapsed="false">
      <c r="A40" s="1"/>
      <c r="B40" s="1"/>
      <c r="C40" s="1"/>
      <c r="D40" s="1"/>
      <c r="E40" s="1"/>
      <c r="F40" s="1"/>
      <c r="G40" s="35" t="s">
        <v>13</v>
      </c>
      <c r="H40" s="1"/>
      <c r="I40" s="1"/>
      <c r="J40" s="14"/>
      <c r="K40" s="14"/>
      <c r="L40" s="14"/>
      <c r="M40" s="54" t="n">
        <f aca="false">Q10</f>
        <v>12</v>
      </c>
      <c r="N40" s="14"/>
    </row>
    <row r="41" customFormat="false" ht="12" hidden="false" customHeight="false" outlineLevel="0" collapsed="false">
      <c r="A41" s="1"/>
      <c r="B41" s="1"/>
      <c r="C41" s="1"/>
      <c r="D41" s="1"/>
      <c r="E41" s="1"/>
      <c r="F41" s="1"/>
      <c r="G41" s="35" t="s">
        <v>82</v>
      </c>
      <c r="H41" s="1"/>
      <c r="I41" s="1"/>
      <c r="J41" s="14"/>
      <c r="K41" s="14"/>
      <c r="L41" s="14"/>
      <c r="M41" s="55" t="s">
        <v>83</v>
      </c>
      <c r="N41" s="14"/>
    </row>
    <row r="42" customFormat="false" ht="12" hidden="false" customHeight="false" outlineLevel="0" collapsed="false">
      <c r="A42" s="1"/>
      <c r="B42" s="1"/>
      <c r="C42" s="1"/>
      <c r="D42" s="1"/>
      <c r="E42" s="1"/>
      <c r="F42" s="1"/>
      <c r="G42" s="35" t="s">
        <v>84</v>
      </c>
      <c r="H42" s="1"/>
      <c r="I42" s="1"/>
      <c r="J42" s="14"/>
      <c r="K42" s="14"/>
      <c r="L42" s="14"/>
      <c r="M42" s="0" t="n">
        <v>55408.69864</v>
      </c>
      <c r="N42" s="14"/>
    </row>
    <row r="43" customFormat="false" ht="12" hidden="false" customHeight="false" outlineLevel="0" collapsed="false">
      <c r="A43" s="1"/>
      <c r="B43" s="1"/>
      <c r="C43" s="1"/>
      <c r="D43" s="1"/>
      <c r="E43" s="1"/>
      <c r="F43" s="1"/>
      <c r="G43" s="35"/>
      <c r="H43" s="1"/>
      <c r="I43" s="1"/>
      <c r="J43" s="14"/>
      <c r="K43" s="14"/>
      <c r="L43" s="14"/>
      <c r="N43" s="14"/>
    </row>
    <row r="44" customFormat="false" ht="12" hidden="false" customHeight="false" outlineLevel="0" collapsed="false">
      <c r="A44" s="1"/>
      <c r="B44" s="1"/>
      <c r="C44" s="1"/>
      <c r="D44" s="1"/>
      <c r="E44" s="1"/>
      <c r="F44" s="1"/>
      <c r="G44" s="14" t="s">
        <v>78</v>
      </c>
      <c r="H44" s="1"/>
      <c r="I44" s="1"/>
      <c r="J44" s="14"/>
      <c r="K44" s="14"/>
      <c r="L44" s="14"/>
      <c r="M44" s="56" t="str">
        <f aca="false">M32</f>
        <v>$14,150.0</v>
      </c>
      <c r="N44" s="14"/>
    </row>
    <row r="45" customFormat="false" ht="12" hidden="false" customHeight="false" outlineLevel="0" collapsed="false">
      <c r="A45" s="1"/>
      <c r="B45" s="1"/>
      <c r="C45" s="1"/>
      <c r="D45" s="1"/>
      <c r="E45" s="1"/>
      <c r="F45" s="1"/>
      <c r="G45" s="14" t="s">
        <v>85</v>
      </c>
      <c r="H45" s="1"/>
      <c r="I45" s="1"/>
      <c r="J45" s="14"/>
      <c r="K45" s="14"/>
      <c r="L45" s="14"/>
      <c r="M45" s="57" t="n">
        <v>55408.7</v>
      </c>
      <c r="N45" s="14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58" t="s">
        <v>86</v>
      </c>
      <c r="H46" s="59"/>
      <c r="I46" s="59"/>
      <c r="J46" s="59"/>
      <c r="K46" s="59"/>
      <c r="L46" s="59"/>
      <c r="M46" s="60" t="s">
        <v>87</v>
      </c>
      <c r="N46" s="14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35" t="s">
        <v>88</v>
      </c>
      <c r="H47" s="1"/>
      <c r="I47" s="1"/>
      <c r="J47" s="11"/>
      <c r="K47" s="11"/>
      <c r="L47" s="11"/>
      <c r="M47" s="57" t="n">
        <v>9200</v>
      </c>
      <c r="N47" s="14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35" t="s">
        <v>89</v>
      </c>
      <c r="H48" s="1"/>
      <c r="I48" s="1"/>
      <c r="J48" s="11"/>
      <c r="K48" s="11"/>
      <c r="L48" s="11"/>
      <c r="M48" s="57" t="n">
        <v>-50</v>
      </c>
      <c r="N48" s="14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58" t="s">
        <v>90</v>
      </c>
      <c r="H49" s="59"/>
      <c r="I49" s="59"/>
      <c r="J49" s="59"/>
      <c r="K49" s="59"/>
      <c r="L49" s="59"/>
      <c r="M49" s="60" t="s">
        <v>91</v>
      </c>
      <c r="N49" s="14"/>
    </row>
    <row r="50" customFormat="false" ht="12" hidden="false" customHeight="false" outlineLevel="0" collapsed="false">
      <c r="A50" s="1"/>
      <c r="B50" s="1"/>
      <c r="C50" s="14"/>
      <c r="D50" s="14"/>
      <c r="E50" s="14"/>
      <c r="F50" s="14"/>
      <c r="G50" s="14" t="s">
        <v>92</v>
      </c>
      <c r="H50" s="14"/>
      <c r="I50" s="14"/>
      <c r="J50" s="14"/>
      <c r="K50" s="14"/>
      <c r="L50" s="14"/>
      <c r="M50" s="61" t="n">
        <v>1000</v>
      </c>
      <c r="N50" s="14"/>
    </row>
    <row r="51" customFormat="false" ht="12.75" hidden="false" customHeight="true" outlineLevel="0" collapsed="false">
      <c r="A51" s="1"/>
      <c r="B51" s="1"/>
      <c r="C51" s="14"/>
      <c r="D51" s="14"/>
      <c r="E51" s="14"/>
      <c r="F51" s="14"/>
      <c r="G51" s="58" t="s">
        <v>93</v>
      </c>
      <c r="H51" s="59"/>
      <c r="I51" s="59"/>
      <c r="J51" s="59"/>
      <c r="K51" s="59"/>
      <c r="L51" s="59"/>
      <c r="M51" s="62" t="s">
        <v>94</v>
      </c>
      <c r="N51" s="14"/>
    </row>
    <row r="52" customFormat="false" ht="12" hidden="false" customHeight="false" outlineLevel="0" collapsed="false">
      <c r="A52" s="1"/>
      <c r="B52" s="1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customFormat="false" ht="12" hidden="false" customHeight="false" outlineLevel="0" collapsed="false">
      <c r="A53" s="1"/>
      <c r="B53" s="1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customFormat="false" ht="12" hidden="false" customHeight="false" outlineLevel="0" collapsed="false">
      <c r="A54" s="1"/>
      <c r="B54" s="1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customFormat="false" ht="12.75" hidden="false" customHeight="true" outlineLevel="0" collapsed="false">
      <c r="A55" s="1"/>
      <c r="B55" s="1"/>
      <c r="C55" s="14"/>
      <c r="D55" s="14"/>
      <c r="E55" s="14"/>
      <c r="F55" s="14"/>
      <c r="G55" s="52" t="s">
        <v>95</v>
      </c>
      <c r="H55" s="52"/>
      <c r="I55" s="52"/>
      <c r="J55" s="52"/>
      <c r="K55" s="52"/>
      <c r="L55" s="52"/>
      <c r="M55" s="52"/>
      <c r="N55" s="14"/>
    </row>
    <row r="56" customFormat="false" ht="12" hidden="false" customHeight="false" outlineLevel="0" collapsed="false">
      <c r="A56" s="1"/>
      <c r="B56" s="1"/>
      <c r="C56" s="14"/>
      <c r="D56" s="14"/>
      <c r="E56" s="14"/>
      <c r="F56" s="14"/>
      <c r="N56" s="14"/>
    </row>
    <row r="57" customFormat="false" ht="15.75" hidden="false" customHeight="true" outlineLevel="0" collapsed="false">
      <c r="A57" s="1"/>
      <c r="B57" s="1"/>
      <c r="C57" s="14"/>
      <c r="D57" s="14"/>
      <c r="E57" s="14"/>
      <c r="F57" s="14"/>
      <c r="G57" s="63" t="s">
        <v>96</v>
      </c>
      <c r="H57" s="63"/>
      <c r="I57" s="63"/>
      <c r="J57" s="63"/>
      <c r="K57" s="63"/>
      <c r="L57" s="63"/>
      <c r="M57" s="63"/>
      <c r="N57" s="14"/>
      <c r="O57" s="64" t="s">
        <v>97</v>
      </c>
      <c r="P57" s="65"/>
    </row>
    <row r="58" customFormat="false" ht="12.75" hidden="false" customHeight="true" outlineLevel="0" collapsed="false">
      <c r="A58" s="1"/>
      <c r="B58" s="1"/>
      <c r="C58" s="14"/>
      <c r="D58" s="14"/>
      <c r="E58" s="14"/>
      <c r="F58" s="14"/>
      <c r="G58" s="11"/>
      <c r="H58" s="11"/>
      <c r="I58" s="11"/>
      <c r="J58" s="11"/>
      <c r="K58" s="11"/>
      <c r="L58" s="11"/>
      <c r="M58" s="11"/>
      <c r="N58" s="14"/>
      <c r="O58" s="66"/>
      <c r="P58" s="67"/>
    </row>
    <row r="59" customFormat="false" ht="15.75" hidden="false" customHeight="true" outlineLevel="0" collapsed="false">
      <c r="A59" s="1"/>
      <c r="B59" s="1"/>
      <c r="C59" s="14"/>
      <c r="D59" s="14"/>
      <c r="E59" s="14"/>
      <c r="F59" s="14"/>
      <c r="G59" s="14"/>
      <c r="H59" s="14"/>
      <c r="I59" s="63" t="s">
        <v>13</v>
      </c>
      <c r="J59" s="63"/>
      <c r="K59" s="63"/>
      <c r="L59" s="63"/>
      <c r="M59" s="63"/>
      <c r="N59" s="14"/>
      <c r="O59" s="68" t="s">
        <v>98</v>
      </c>
      <c r="P59" s="69" t="n">
        <v>1</v>
      </c>
    </row>
    <row r="60" customFormat="false" ht="12" hidden="false" customHeight="false" outlineLevel="0" collapsed="false">
      <c r="A60" s="1"/>
      <c r="B60" s="1"/>
      <c r="C60" s="14"/>
      <c r="D60" s="14"/>
      <c r="E60" s="14"/>
      <c r="F60" s="14"/>
      <c r="G60" s="70"/>
      <c r="H60" s="71"/>
      <c r="I60" s="72" t="s">
        <v>99</v>
      </c>
      <c r="J60" s="72" t="s">
        <v>100</v>
      </c>
      <c r="K60" s="73" t="s">
        <v>101</v>
      </c>
      <c r="L60" s="72" t="s">
        <v>102</v>
      </c>
      <c r="M60" s="72" t="s">
        <v>103</v>
      </c>
      <c r="N60" s="14"/>
      <c r="O60" s="74" t="s">
        <v>104</v>
      </c>
      <c r="P60" s="75" t="n">
        <v>0.005</v>
      </c>
    </row>
    <row r="61" customFormat="false" ht="12" hidden="false" customHeight="false" outlineLevel="0" collapsed="false">
      <c r="A61" s="1"/>
      <c r="B61" s="1"/>
      <c r="C61" s="14"/>
      <c r="D61" s="14"/>
      <c r="E61" s="14"/>
      <c r="F61" s="14"/>
      <c r="G61" s="70"/>
      <c r="H61" s="70" t="n">
        <v>0.07</v>
      </c>
      <c r="I61" s="76" t="s">
        <v>105</v>
      </c>
      <c r="J61" s="44" t="s">
        <v>106</v>
      </c>
      <c r="K61" s="53" t="s">
        <v>107</v>
      </c>
      <c r="L61" s="44" t="s">
        <v>108</v>
      </c>
      <c r="M61" s="44" t="s">
        <v>109</v>
      </c>
      <c r="N61" s="14"/>
    </row>
    <row r="62" customFormat="false" ht="12" hidden="false" customHeight="false" outlineLevel="0" collapsed="false">
      <c r="A62" s="1"/>
      <c r="B62" s="1"/>
      <c r="C62" s="14"/>
      <c r="D62" s="14"/>
      <c r="E62" s="14"/>
      <c r="F62" s="14"/>
      <c r="G62" s="70"/>
      <c r="H62" s="70" t="n">
        <v>0.075</v>
      </c>
      <c r="I62" s="77" t="s">
        <v>110</v>
      </c>
      <c r="J62" s="78" t="s">
        <v>111</v>
      </c>
      <c r="K62" s="78" t="s">
        <v>112</v>
      </c>
      <c r="L62" s="78" t="s">
        <v>113</v>
      </c>
      <c r="M62" s="53" t="s">
        <v>114</v>
      </c>
      <c r="N62" s="14"/>
    </row>
    <row r="63" customFormat="false" ht="12" hidden="false" customHeight="false" outlineLevel="0" collapsed="false">
      <c r="A63" s="1"/>
      <c r="B63" s="1"/>
      <c r="C63" s="1"/>
      <c r="D63" s="1"/>
      <c r="E63" s="1"/>
      <c r="F63" s="1"/>
      <c r="G63" s="70" t="s">
        <v>115</v>
      </c>
      <c r="H63" s="79" t="n">
        <v>0.08</v>
      </c>
      <c r="I63" s="78" t="s">
        <v>116</v>
      </c>
      <c r="J63" s="78" t="s">
        <v>117</v>
      </c>
      <c r="K63" s="80" t="s">
        <v>118</v>
      </c>
      <c r="L63" s="78" t="s">
        <v>119</v>
      </c>
      <c r="M63" s="53" t="s">
        <v>120</v>
      </c>
      <c r="N63" s="14"/>
    </row>
    <row r="64" customFormat="false" ht="12" hidden="false" customHeight="false" outlineLevel="0" collapsed="false">
      <c r="A64" s="1"/>
      <c r="B64" s="1"/>
      <c r="C64" s="1"/>
      <c r="D64" s="1"/>
      <c r="E64" s="1"/>
      <c r="F64" s="1"/>
      <c r="G64" s="70"/>
      <c r="H64" s="70" t="n">
        <v>0.085</v>
      </c>
      <c r="I64" s="77" t="s">
        <v>121</v>
      </c>
      <c r="J64" s="78" t="s">
        <v>122</v>
      </c>
      <c r="K64" s="78" t="s">
        <v>123</v>
      </c>
      <c r="L64" s="78" t="s">
        <v>124</v>
      </c>
      <c r="M64" s="53" t="s">
        <v>125</v>
      </c>
      <c r="N64" s="14"/>
    </row>
    <row r="65" customFormat="false" ht="12" hidden="false" customHeight="false" outlineLevel="0" collapsed="false">
      <c r="A65" s="1"/>
      <c r="B65" s="1"/>
      <c r="C65" s="1"/>
      <c r="D65" s="1"/>
      <c r="E65" s="1"/>
      <c r="F65" s="1"/>
      <c r="G65" s="70"/>
      <c r="H65" s="70" t="n">
        <v>0.09</v>
      </c>
      <c r="I65" s="77" t="s">
        <v>126</v>
      </c>
      <c r="J65" s="78" t="s">
        <v>127</v>
      </c>
      <c r="K65" s="78" t="s">
        <v>128</v>
      </c>
      <c r="L65" s="78" t="s">
        <v>129</v>
      </c>
      <c r="M65" s="53" t="s">
        <v>130</v>
      </c>
      <c r="N65" s="14"/>
    </row>
    <row r="66" customFormat="false" ht="12" hidden="false" customHeight="false" outlineLevel="0" collapsed="false">
      <c r="A66" s="1"/>
      <c r="B66" s="1"/>
      <c r="C66" s="1"/>
      <c r="D66" s="1"/>
      <c r="E66" s="1"/>
      <c r="F66" s="1"/>
      <c r="G66" s="70"/>
      <c r="H66" s="14"/>
      <c r="I66" s="81"/>
      <c r="J66" s="81"/>
      <c r="K66" s="81"/>
      <c r="L66" s="81"/>
      <c r="M66" s="81"/>
      <c r="N66" s="14"/>
    </row>
    <row r="67" customFormat="false" ht="12" hidden="false" customHeight="false" outlineLevel="0" collapsed="false">
      <c r="A67" s="1"/>
      <c r="B67" s="1"/>
      <c r="C67" s="1"/>
      <c r="D67" s="1"/>
      <c r="E67" s="1"/>
      <c r="F67" s="1"/>
      <c r="G67" s="70"/>
      <c r="H67" s="14"/>
      <c r="I67" s="82"/>
      <c r="J67" s="14"/>
      <c r="K67" s="14"/>
      <c r="L67" s="14"/>
      <c r="M67" s="14"/>
      <c r="N67" s="14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63" t="s">
        <v>131</v>
      </c>
      <c r="H68" s="63"/>
      <c r="I68" s="63"/>
      <c r="J68" s="63"/>
      <c r="K68" s="63"/>
      <c r="L68" s="63"/>
      <c r="M68" s="63"/>
      <c r="N68" s="14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1"/>
      <c r="H69" s="11"/>
      <c r="I69" s="11"/>
      <c r="J69" s="11"/>
      <c r="K69" s="11"/>
      <c r="L69" s="11"/>
      <c r="M69" s="11"/>
      <c r="N69" s="14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4"/>
      <c r="H70" s="14"/>
      <c r="I70" s="63" t="s">
        <v>13</v>
      </c>
      <c r="J70" s="63"/>
      <c r="K70" s="63"/>
      <c r="L70" s="63"/>
      <c r="M70" s="63"/>
      <c r="N70" s="14"/>
    </row>
    <row r="71" customFormat="false" ht="12" hidden="false" customHeight="false" outlineLevel="0" collapsed="false">
      <c r="A71" s="1"/>
      <c r="B71" s="1"/>
      <c r="C71" s="1"/>
      <c r="D71" s="1"/>
      <c r="E71" s="1"/>
      <c r="F71" s="1"/>
      <c r="G71" s="14"/>
      <c r="H71" s="83"/>
      <c r="I71" s="72" t="s">
        <v>99</v>
      </c>
      <c r="J71" s="72" t="s">
        <v>100</v>
      </c>
      <c r="K71" s="73" t="n">
        <f aca="false">Q10</f>
        <v>12</v>
      </c>
      <c r="L71" s="72" t="s">
        <v>102</v>
      </c>
      <c r="M71" s="72" t="s">
        <v>103</v>
      </c>
      <c r="N71" s="14"/>
    </row>
    <row r="72" customFormat="false" ht="12" hidden="false" customHeight="false" outlineLevel="0" collapsed="false">
      <c r="A72" s="1"/>
      <c r="B72" s="1"/>
      <c r="C72" s="1"/>
      <c r="D72" s="1"/>
      <c r="E72" s="1"/>
      <c r="F72" s="1"/>
      <c r="G72" s="84"/>
      <c r="H72" s="70" t="n">
        <v>0.07</v>
      </c>
      <c r="I72" s="85" t="s">
        <v>132</v>
      </c>
      <c r="J72" s="86" t="s">
        <v>133</v>
      </c>
      <c r="K72" s="87" t="s">
        <v>134</v>
      </c>
      <c r="L72" s="86" t="s">
        <v>135</v>
      </c>
      <c r="M72" s="86" t="s">
        <v>136</v>
      </c>
      <c r="N72" s="14"/>
    </row>
    <row r="73" customFormat="false" ht="12" hidden="false" customHeight="false" outlineLevel="0" collapsed="false">
      <c r="A73" s="1"/>
      <c r="B73" s="1"/>
      <c r="C73" s="1"/>
      <c r="D73" s="1"/>
      <c r="E73" s="1"/>
      <c r="F73" s="1"/>
      <c r="G73" s="84"/>
      <c r="H73" s="70" t="n">
        <v>0.075</v>
      </c>
      <c r="I73" s="88" t="s">
        <v>137</v>
      </c>
      <c r="J73" s="89" t="s">
        <v>138</v>
      </c>
      <c r="K73" s="89" t="s">
        <v>139</v>
      </c>
      <c r="L73" s="89" t="s">
        <v>140</v>
      </c>
      <c r="M73" s="89" t="s">
        <v>141</v>
      </c>
      <c r="N73" s="14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1" t="s">
        <v>115</v>
      </c>
      <c r="H74" s="79" t="n">
        <v>0.08</v>
      </c>
      <c r="I74" s="89" t="s">
        <v>142</v>
      </c>
      <c r="J74" s="89" t="s">
        <v>143</v>
      </c>
      <c r="K74" s="80" t="s">
        <v>144</v>
      </c>
      <c r="L74" s="89" t="s">
        <v>145</v>
      </c>
      <c r="M74" s="89" t="s">
        <v>146</v>
      </c>
      <c r="N74" s="1"/>
    </row>
    <row r="75" customFormat="false" ht="12" hidden="false" customHeight="false" outlineLevel="0" collapsed="false">
      <c r="A75" s="1"/>
      <c r="B75" s="1"/>
      <c r="C75" s="1"/>
      <c r="D75" s="1"/>
      <c r="E75" s="1"/>
      <c r="F75" s="1"/>
      <c r="G75" s="84"/>
      <c r="H75" s="70" t="n">
        <v>0.085</v>
      </c>
      <c r="I75" s="88" t="s">
        <v>147</v>
      </c>
      <c r="J75" s="89" t="s">
        <v>148</v>
      </c>
      <c r="K75" s="89" t="s">
        <v>149</v>
      </c>
      <c r="L75" s="89" t="s">
        <v>150</v>
      </c>
      <c r="M75" s="89" t="s">
        <v>151</v>
      </c>
      <c r="N75" s="1"/>
    </row>
    <row r="76" customFormat="false" ht="12" hidden="false" customHeight="false" outlineLevel="0" collapsed="false">
      <c r="A76" s="1"/>
      <c r="B76" s="1"/>
      <c r="C76" s="1"/>
      <c r="D76" s="1"/>
      <c r="E76" s="1"/>
      <c r="F76" s="1"/>
      <c r="G76" s="84"/>
      <c r="H76" s="70" t="n">
        <v>0.09</v>
      </c>
      <c r="I76" s="88" t="s">
        <v>152</v>
      </c>
      <c r="J76" s="89" t="s">
        <v>153</v>
      </c>
      <c r="K76" s="89" t="s">
        <v>154</v>
      </c>
      <c r="L76" s="89" t="s">
        <v>155</v>
      </c>
      <c r="M76" s="89" t="s">
        <v>156</v>
      </c>
      <c r="N76" s="1"/>
    </row>
    <row r="77" customFormat="false" ht="12" hidden="false" customHeight="false" outlineLevel="0" collapsed="false">
      <c r="A77" s="1"/>
      <c r="B77" s="1"/>
      <c r="C77" s="1"/>
      <c r="D77" s="1"/>
      <c r="E77" s="1"/>
      <c r="F77" s="1"/>
      <c r="I77" s="80"/>
      <c r="J77" s="80"/>
      <c r="K77" s="80"/>
      <c r="L77" s="80"/>
      <c r="M77" s="80"/>
    </row>
    <row r="78" customFormat="false" ht="12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90"/>
      <c r="J78" s="90"/>
      <c r="K78" s="90"/>
      <c r="L78" s="90"/>
      <c r="M78" s="90"/>
      <c r="N78" s="1"/>
      <c r="O78" s="1"/>
      <c r="P78" s="1"/>
      <c r="Q78" s="1"/>
    </row>
  </sheetData>
  <mergeCells count="7">
    <mergeCell ref="O6:Q6"/>
    <mergeCell ref="G37:M37"/>
    <mergeCell ref="G55:M55"/>
    <mergeCell ref="G57:M57"/>
    <mergeCell ref="I59:M59"/>
    <mergeCell ref="G68:M68"/>
    <mergeCell ref="I70:M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2022-04-05T14:53:05Z</dcterms:created>
  <dc:creator>Josh</dc:creator>
  <dc:description/>
  <dc:language>en-US</dc:language>
  <cp:lastModifiedBy>Mr</cp:lastModifiedBy>
  <dcterms:modified xsi:type="dcterms:W3CDTF">2026-07-01T01:53:15Z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